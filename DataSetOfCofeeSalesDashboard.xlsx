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74EBDC9B-AB0E-44F7-B5B1-5F7E245124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7" l="1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P2" i="17"/>
  <c r="O3" i="17"/>
  <c r="O2" i="17"/>
  <c r="O13" i="17"/>
  <c r="O4" i="17"/>
  <c r="O5" i="17"/>
  <c r="O6" i="17"/>
  <c r="O7" i="17"/>
  <c r="O8" i="17"/>
  <c r="O9" i="17"/>
  <c r="O10" i="17"/>
  <c r="O11" i="17"/>
  <c r="O12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253" i="17"/>
  <c r="N254" i="17"/>
  <c r="N255" i="17"/>
  <c r="N256" i="17"/>
  <c r="N257" i="17"/>
  <c r="N258" i="17"/>
  <c r="N259" i="17"/>
  <c r="N260" i="17"/>
  <c r="N261" i="17"/>
  <c r="N262" i="17"/>
  <c r="N263" i="17"/>
  <c r="N264" i="17"/>
  <c r="N265" i="17"/>
  <c r="N266" i="17"/>
  <c r="N267" i="17"/>
  <c r="N268" i="17"/>
  <c r="N269" i="17"/>
  <c r="N270" i="17"/>
  <c r="N271" i="17"/>
  <c r="N272" i="17"/>
  <c r="N273" i="17"/>
  <c r="N274" i="17"/>
  <c r="N275" i="17"/>
  <c r="N276" i="17"/>
  <c r="N277" i="17"/>
  <c r="N278" i="17"/>
  <c r="N279" i="17"/>
  <c r="N280" i="17"/>
  <c r="N281" i="17"/>
  <c r="N282" i="17"/>
  <c r="N283" i="17"/>
  <c r="N284" i="17"/>
  <c r="N285" i="17"/>
  <c r="N286" i="17"/>
  <c r="N287" i="17"/>
  <c r="N288" i="17"/>
  <c r="N289" i="17"/>
  <c r="N290" i="17"/>
  <c r="N291" i="17"/>
  <c r="N292" i="17"/>
  <c r="N293" i="17"/>
  <c r="N294" i="17"/>
  <c r="N295" i="17"/>
  <c r="N296" i="17"/>
  <c r="N297" i="17"/>
  <c r="N298" i="17"/>
  <c r="N299" i="17"/>
  <c r="N300" i="17"/>
  <c r="N301" i="17"/>
  <c r="N302" i="17"/>
  <c r="N303" i="17"/>
  <c r="N304" i="17"/>
  <c r="N305" i="17"/>
  <c r="N306" i="17"/>
  <c r="N307" i="17"/>
  <c r="N308" i="17"/>
  <c r="N309" i="17"/>
  <c r="N310" i="17"/>
  <c r="N311" i="17"/>
  <c r="N312" i="17"/>
  <c r="N313" i="17"/>
  <c r="N314" i="17"/>
  <c r="N315" i="17"/>
  <c r="N316" i="17"/>
  <c r="N317" i="17"/>
  <c r="N318" i="17"/>
  <c r="N319" i="17"/>
  <c r="N320" i="17"/>
  <c r="N321" i="17"/>
  <c r="N322" i="17"/>
  <c r="N323" i="17"/>
  <c r="N324" i="17"/>
  <c r="N325" i="17"/>
  <c r="N326" i="17"/>
  <c r="N327" i="17"/>
  <c r="N328" i="17"/>
  <c r="N329" i="17"/>
  <c r="N330" i="17"/>
  <c r="N331" i="17"/>
  <c r="N332" i="17"/>
  <c r="N333" i="17"/>
  <c r="N334" i="17"/>
  <c r="N335" i="17"/>
  <c r="N336" i="17"/>
  <c r="N337" i="17"/>
  <c r="N338" i="17"/>
  <c r="N339" i="17"/>
  <c r="N340" i="17"/>
  <c r="N341" i="17"/>
  <c r="N342" i="17"/>
  <c r="N343" i="17"/>
  <c r="N344" i="17"/>
  <c r="N345" i="17"/>
  <c r="N346" i="17"/>
  <c r="N347" i="17"/>
  <c r="N348" i="17"/>
  <c r="N349" i="17"/>
  <c r="N350" i="17"/>
  <c r="N351" i="17"/>
  <c r="N352" i="17"/>
  <c r="N353" i="17"/>
  <c r="N354" i="17"/>
  <c r="N355" i="17"/>
  <c r="N356" i="17"/>
  <c r="N357" i="17"/>
  <c r="N358" i="17"/>
  <c r="N359" i="17"/>
  <c r="N360" i="17"/>
  <c r="N361" i="17"/>
  <c r="N362" i="17"/>
  <c r="N363" i="17"/>
  <c r="N364" i="17"/>
  <c r="N365" i="17"/>
  <c r="N366" i="17"/>
  <c r="N367" i="17"/>
  <c r="N368" i="17"/>
  <c r="N369" i="17"/>
  <c r="N370" i="17"/>
  <c r="N371" i="17"/>
  <c r="N372" i="17"/>
  <c r="N373" i="17"/>
  <c r="N374" i="17"/>
  <c r="N375" i="17"/>
  <c r="N376" i="17"/>
  <c r="N377" i="17"/>
  <c r="N378" i="17"/>
  <c r="N379" i="17"/>
  <c r="N380" i="17"/>
  <c r="N381" i="17"/>
  <c r="N382" i="17"/>
  <c r="N383" i="17"/>
  <c r="N384" i="17"/>
  <c r="N385" i="17"/>
  <c r="N386" i="17"/>
  <c r="N387" i="17"/>
  <c r="N388" i="17"/>
  <c r="N389" i="17"/>
  <c r="N390" i="17"/>
  <c r="N391" i="17"/>
  <c r="N392" i="17"/>
  <c r="N393" i="17"/>
  <c r="N394" i="17"/>
  <c r="N395" i="17"/>
  <c r="N396" i="17"/>
  <c r="N397" i="17"/>
  <c r="N398" i="17"/>
  <c r="N399" i="17"/>
  <c r="N400" i="17"/>
  <c r="N401" i="17"/>
  <c r="N402" i="17"/>
  <c r="N403" i="17"/>
  <c r="N404" i="17"/>
  <c r="N405" i="17"/>
  <c r="N406" i="17"/>
  <c r="N407" i="17"/>
  <c r="N408" i="17"/>
  <c r="N409" i="17"/>
  <c r="N410" i="17"/>
  <c r="N411" i="17"/>
  <c r="N412" i="17"/>
  <c r="N413" i="17"/>
  <c r="N414" i="17"/>
  <c r="N415" i="17"/>
  <c r="N416" i="17"/>
  <c r="N417" i="17"/>
  <c r="N418" i="17"/>
  <c r="N419" i="17"/>
  <c r="N420" i="17"/>
  <c r="N421" i="17"/>
  <c r="N422" i="17"/>
  <c r="N423" i="17"/>
  <c r="N424" i="17"/>
  <c r="N425" i="17"/>
  <c r="N426" i="17"/>
  <c r="N427" i="17"/>
  <c r="N428" i="17"/>
  <c r="N429" i="17"/>
  <c r="N430" i="17"/>
  <c r="N431" i="17"/>
  <c r="N432" i="17"/>
  <c r="N433" i="17"/>
  <c r="N434" i="17"/>
  <c r="N435" i="17"/>
  <c r="N436" i="17"/>
  <c r="N437" i="17"/>
  <c r="N438" i="17"/>
  <c r="N439" i="17"/>
  <c r="N440" i="17"/>
  <c r="N441" i="17"/>
  <c r="N442" i="17"/>
  <c r="N443" i="17"/>
  <c r="N444" i="17"/>
  <c r="N445" i="17"/>
  <c r="N446" i="17"/>
  <c r="N447" i="17"/>
  <c r="N448" i="17"/>
  <c r="N449" i="17"/>
  <c r="N450" i="17"/>
  <c r="N451" i="17"/>
  <c r="N452" i="17"/>
  <c r="N453" i="17"/>
  <c r="N454" i="17"/>
  <c r="N455" i="17"/>
  <c r="N456" i="17"/>
  <c r="N457" i="17"/>
  <c r="N458" i="17"/>
  <c r="N459" i="17"/>
  <c r="N460" i="17"/>
  <c r="N461" i="17"/>
  <c r="N462" i="17"/>
  <c r="N463" i="17"/>
  <c r="N464" i="17"/>
  <c r="N465" i="17"/>
  <c r="N466" i="17"/>
  <c r="N467" i="17"/>
  <c r="N468" i="17"/>
  <c r="N469" i="17"/>
  <c r="N470" i="17"/>
  <c r="N471" i="17"/>
  <c r="N472" i="17"/>
  <c r="N473" i="17"/>
  <c r="N474" i="17"/>
  <c r="N475" i="17"/>
  <c r="N476" i="17"/>
  <c r="N477" i="17"/>
  <c r="N478" i="17"/>
  <c r="N479" i="17"/>
  <c r="N480" i="17"/>
  <c r="N481" i="17"/>
  <c r="N482" i="17"/>
  <c r="N483" i="17"/>
  <c r="N484" i="17"/>
  <c r="N485" i="17"/>
  <c r="N486" i="17"/>
  <c r="N487" i="17"/>
  <c r="N488" i="17"/>
  <c r="N489" i="17"/>
  <c r="N490" i="17"/>
  <c r="N491" i="17"/>
  <c r="N492" i="17"/>
  <c r="N493" i="17"/>
  <c r="N494" i="17"/>
  <c r="N495" i="17"/>
  <c r="N496" i="17"/>
  <c r="N497" i="17"/>
  <c r="N498" i="17"/>
  <c r="N499" i="17"/>
  <c r="N500" i="17"/>
  <c r="N501" i="17"/>
  <c r="N50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565" i="17"/>
  <c r="N566" i="17"/>
  <c r="N567" i="17"/>
  <c r="N568" i="17"/>
  <c r="N569" i="17"/>
  <c r="N570" i="17"/>
  <c r="N571" i="17"/>
  <c r="N572" i="17"/>
  <c r="N573" i="17"/>
  <c r="N574" i="17"/>
  <c r="N575" i="17"/>
  <c r="N576" i="17"/>
  <c r="N577" i="17"/>
  <c r="N578" i="17"/>
  <c r="N579" i="17"/>
  <c r="N580" i="17"/>
  <c r="N581" i="17"/>
  <c r="N582" i="17"/>
  <c r="N583" i="17"/>
  <c r="N584" i="17"/>
  <c r="N585" i="17"/>
  <c r="N586" i="17"/>
  <c r="N587" i="17"/>
  <c r="N588" i="17"/>
  <c r="N589" i="17"/>
  <c r="N590" i="17"/>
  <c r="N591" i="17"/>
  <c r="N592" i="17"/>
  <c r="N593" i="17"/>
  <c r="N594" i="17"/>
  <c r="N595" i="17"/>
  <c r="N596" i="17"/>
  <c r="N597" i="17"/>
  <c r="N598" i="17"/>
  <c r="N599" i="17"/>
  <c r="N600" i="17"/>
  <c r="N601" i="17"/>
  <c r="N602" i="17"/>
  <c r="N603" i="17"/>
  <c r="N604" i="17"/>
  <c r="N605" i="17"/>
  <c r="N606" i="17"/>
  <c r="N607" i="17"/>
  <c r="N608" i="17"/>
  <c r="N609" i="17"/>
  <c r="N610" i="17"/>
  <c r="N611" i="17"/>
  <c r="N612" i="17"/>
  <c r="N613" i="17"/>
  <c r="N614" i="17"/>
  <c r="N615" i="17"/>
  <c r="N616" i="17"/>
  <c r="N617" i="17"/>
  <c r="N618" i="17"/>
  <c r="N619" i="17"/>
  <c r="N620" i="17"/>
  <c r="N621" i="17"/>
  <c r="N622" i="17"/>
  <c r="N623" i="17"/>
  <c r="N624" i="17"/>
  <c r="N625" i="17"/>
  <c r="N626" i="17"/>
  <c r="N627" i="17"/>
  <c r="N628" i="17"/>
  <c r="N629" i="17"/>
  <c r="N630" i="17"/>
  <c r="N631" i="17"/>
  <c r="N632" i="17"/>
  <c r="N633" i="17"/>
  <c r="N634" i="17"/>
  <c r="N635" i="17"/>
  <c r="N636" i="17"/>
  <c r="N637" i="17"/>
  <c r="N638" i="17"/>
  <c r="N639" i="17"/>
  <c r="N640" i="17"/>
  <c r="N641" i="17"/>
  <c r="N642" i="17"/>
  <c r="N643" i="17"/>
  <c r="N644" i="17"/>
  <c r="N645" i="17"/>
  <c r="N646" i="17"/>
  <c r="N647" i="17"/>
  <c r="N648" i="17"/>
  <c r="N649" i="17"/>
  <c r="N650" i="17"/>
  <c r="N651" i="17"/>
  <c r="N652" i="17"/>
  <c r="N653" i="17"/>
  <c r="N654" i="17"/>
  <c r="N655" i="17"/>
  <c r="N656" i="17"/>
  <c r="N657" i="17"/>
  <c r="N658" i="17"/>
  <c r="N659" i="17"/>
  <c r="N660" i="17"/>
  <c r="N661" i="17"/>
  <c r="N662" i="17"/>
  <c r="N663" i="17"/>
  <c r="N664" i="17"/>
  <c r="N665" i="17"/>
  <c r="N666" i="17"/>
  <c r="N667" i="17"/>
  <c r="N668" i="17"/>
  <c r="N669" i="17"/>
  <c r="N670" i="17"/>
  <c r="N671" i="17"/>
  <c r="N672" i="17"/>
  <c r="N673" i="17"/>
  <c r="N674" i="17"/>
  <c r="N675" i="17"/>
  <c r="N676" i="17"/>
  <c r="N677" i="17"/>
  <c r="N678" i="17"/>
  <c r="N679" i="17"/>
  <c r="N680" i="17"/>
  <c r="N681" i="17"/>
  <c r="N682" i="17"/>
  <c r="N683" i="17"/>
  <c r="N684" i="17"/>
  <c r="N685" i="17"/>
  <c r="N686" i="17"/>
  <c r="N687" i="17"/>
  <c r="N688" i="17"/>
  <c r="N689" i="17"/>
  <c r="N690" i="17"/>
  <c r="N691" i="17"/>
  <c r="N692" i="17"/>
  <c r="N693" i="17"/>
  <c r="N694" i="17"/>
  <c r="N695" i="17"/>
  <c r="N696" i="17"/>
  <c r="N697" i="17"/>
  <c r="N698" i="17"/>
  <c r="N699" i="17"/>
  <c r="N700" i="17"/>
  <c r="N701" i="17"/>
  <c r="N702" i="17"/>
  <c r="N703" i="17"/>
  <c r="N704" i="17"/>
  <c r="N705" i="17"/>
  <c r="N706" i="17"/>
  <c r="N707" i="17"/>
  <c r="N708" i="17"/>
  <c r="N709" i="17"/>
  <c r="N710" i="17"/>
  <c r="N711" i="17"/>
  <c r="N712" i="17"/>
  <c r="N713" i="17"/>
  <c r="N714" i="17"/>
  <c r="N715" i="17"/>
  <c r="N716" i="17"/>
  <c r="N717" i="17"/>
  <c r="N718" i="17"/>
  <c r="N719" i="17"/>
  <c r="N720" i="17"/>
  <c r="N721" i="17"/>
  <c r="N722" i="17"/>
  <c r="N723" i="17"/>
  <c r="N724" i="17"/>
  <c r="N725" i="17"/>
  <c r="N726" i="17"/>
  <c r="N727" i="17"/>
  <c r="N728" i="17"/>
  <c r="N729" i="17"/>
  <c r="N730" i="17"/>
  <c r="N731" i="17"/>
  <c r="N732" i="17"/>
  <c r="N733" i="17"/>
  <c r="N734" i="17"/>
  <c r="N735" i="17"/>
  <c r="N736" i="17"/>
  <c r="N737" i="17"/>
  <c r="N738" i="17"/>
  <c r="N739" i="17"/>
  <c r="N740" i="17"/>
  <c r="N741" i="17"/>
  <c r="N742" i="17"/>
  <c r="N743" i="17"/>
  <c r="N744" i="17"/>
  <c r="N745" i="17"/>
  <c r="N746" i="17"/>
  <c r="N747" i="17"/>
  <c r="N748" i="17"/>
  <c r="N749" i="17"/>
  <c r="N750" i="17"/>
  <c r="N751" i="17"/>
  <c r="N752" i="17"/>
  <c r="N753" i="17"/>
  <c r="N754" i="17"/>
  <c r="N755" i="17"/>
  <c r="N756" i="17"/>
  <c r="N757" i="17"/>
  <c r="N758" i="17"/>
  <c r="N759" i="17"/>
  <c r="N760" i="17"/>
  <c r="N761" i="17"/>
  <c r="N762" i="17"/>
  <c r="N763" i="17"/>
  <c r="N764" i="17"/>
  <c r="N765" i="17"/>
  <c r="N766" i="17"/>
  <c r="N767" i="17"/>
  <c r="N768" i="17"/>
  <c r="N769" i="17"/>
  <c r="N770" i="17"/>
  <c r="N771" i="17"/>
  <c r="N772" i="17"/>
  <c r="N773" i="17"/>
  <c r="N774" i="17"/>
  <c r="N775" i="17"/>
  <c r="N776" i="17"/>
  <c r="N777" i="17"/>
  <c r="N778" i="17"/>
  <c r="N779" i="17"/>
  <c r="N780" i="17"/>
  <c r="N781" i="17"/>
  <c r="N782" i="17"/>
  <c r="N783" i="17"/>
  <c r="N784" i="17"/>
  <c r="N785" i="17"/>
  <c r="N786" i="17"/>
  <c r="N787" i="17"/>
  <c r="N788" i="17"/>
  <c r="N789" i="17"/>
  <c r="N790" i="17"/>
  <c r="N791" i="17"/>
  <c r="N792" i="17"/>
  <c r="N793" i="17"/>
  <c r="N794" i="17"/>
  <c r="N795" i="17"/>
  <c r="N796" i="17"/>
  <c r="N797" i="17"/>
  <c r="N798" i="17"/>
  <c r="N799" i="17"/>
  <c r="N800" i="17"/>
  <c r="N801" i="17"/>
  <c r="N802" i="17"/>
  <c r="N803" i="17"/>
  <c r="N804" i="17"/>
  <c r="N805" i="17"/>
  <c r="N806" i="17"/>
  <c r="N807" i="17"/>
  <c r="N808" i="17"/>
  <c r="N809" i="17"/>
  <c r="N810" i="17"/>
  <c r="N811" i="17"/>
  <c r="N812" i="17"/>
  <c r="N813" i="17"/>
  <c r="N814" i="17"/>
  <c r="N815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N892" i="17"/>
  <c r="N893" i="17"/>
  <c r="N894" i="17"/>
  <c r="N895" i="17"/>
  <c r="N896" i="17"/>
  <c r="N897" i="17"/>
  <c r="N898" i="17"/>
  <c r="N899" i="17"/>
  <c r="N900" i="17"/>
  <c r="N901" i="17"/>
  <c r="N902" i="17"/>
  <c r="N903" i="17"/>
  <c r="N904" i="17"/>
  <c r="N905" i="17"/>
  <c r="N906" i="17"/>
  <c r="N907" i="17"/>
  <c r="N908" i="17"/>
  <c r="N909" i="17"/>
  <c r="N910" i="17"/>
  <c r="N911" i="17"/>
  <c r="N912" i="17"/>
  <c r="N913" i="17"/>
  <c r="N914" i="17"/>
  <c r="N915" i="17"/>
  <c r="N916" i="17"/>
  <c r="N917" i="17"/>
  <c r="N918" i="17"/>
  <c r="N919" i="17"/>
  <c r="N920" i="17"/>
  <c r="N921" i="17"/>
  <c r="N922" i="17"/>
  <c r="N923" i="17"/>
  <c r="N924" i="17"/>
  <c r="N925" i="17"/>
  <c r="N926" i="17"/>
  <c r="N927" i="17"/>
  <c r="N928" i="17"/>
  <c r="N929" i="17"/>
  <c r="N930" i="17"/>
  <c r="N931" i="17"/>
  <c r="N932" i="17"/>
  <c r="N933" i="17"/>
  <c r="N934" i="17"/>
  <c r="N935" i="17"/>
  <c r="N936" i="17"/>
  <c r="N937" i="17"/>
  <c r="N938" i="17"/>
  <c r="N939" i="17"/>
  <c r="N940" i="17"/>
  <c r="N941" i="17"/>
  <c r="N942" i="17"/>
  <c r="N943" i="17"/>
  <c r="N944" i="17"/>
  <c r="N945" i="17"/>
  <c r="N946" i="17"/>
  <c r="N947" i="17"/>
  <c r="N948" i="17"/>
  <c r="N949" i="17"/>
  <c r="N950" i="17"/>
  <c r="N951" i="17"/>
  <c r="N952" i="17"/>
  <c r="N953" i="17"/>
  <c r="N954" i="17"/>
  <c r="N955" i="17"/>
  <c r="N956" i="17"/>
  <c r="N957" i="17"/>
  <c r="N958" i="17"/>
  <c r="N959" i="17"/>
  <c r="N960" i="17"/>
  <c r="N961" i="17"/>
  <c r="N962" i="17"/>
  <c r="N963" i="17"/>
  <c r="N964" i="17"/>
  <c r="N965" i="17"/>
  <c r="N966" i="17"/>
  <c r="N967" i="17"/>
  <c r="N968" i="17"/>
  <c r="N969" i="17"/>
  <c r="N970" i="17"/>
  <c r="N971" i="17"/>
  <c r="N972" i="17"/>
  <c r="N973" i="17"/>
  <c r="N974" i="17"/>
  <c r="N975" i="17"/>
  <c r="N976" i="17"/>
  <c r="N977" i="17"/>
  <c r="N978" i="17"/>
  <c r="N979" i="17"/>
  <c r="N980" i="17"/>
  <c r="N981" i="17"/>
  <c r="N982" i="17"/>
  <c r="N983" i="17"/>
  <c r="N984" i="17"/>
  <c r="N985" i="17"/>
  <c r="N986" i="17"/>
  <c r="N987" i="17"/>
  <c r="N988" i="17"/>
  <c r="N989" i="17"/>
  <c r="N990" i="17"/>
  <c r="N991" i="17"/>
  <c r="N992" i="17"/>
  <c r="N993" i="17"/>
  <c r="N994" i="17"/>
  <c r="N995" i="17"/>
  <c r="N996" i="17"/>
  <c r="N997" i="17"/>
  <c r="N998" i="17"/>
  <c r="N999" i="17"/>
  <c r="N1000" i="17"/>
  <c r="N1001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1" i="17"/>
  <c r="M252" i="17"/>
  <c r="M253" i="17"/>
  <c r="M254" i="17"/>
  <c r="M255" i="17"/>
  <c r="M256" i="17"/>
  <c r="M257" i="17"/>
  <c r="M258" i="17"/>
  <c r="M259" i="17"/>
  <c r="M260" i="17"/>
  <c r="M261" i="17"/>
  <c r="M262" i="17"/>
  <c r="M263" i="17"/>
  <c r="M264" i="17"/>
  <c r="M265" i="17"/>
  <c r="M266" i="17"/>
  <c r="M267" i="17"/>
  <c r="M268" i="17"/>
  <c r="M269" i="17"/>
  <c r="M270" i="17"/>
  <c r="M271" i="17"/>
  <c r="M272" i="17"/>
  <c r="M273" i="17"/>
  <c r="M274" i="17"/>
  <c r="M275" i="17"/>
  <c r="M276" i="17"/>
  <c r="M277" i="17"/>
  <c r="M278" i="17"/>
  <c r="M279" i="17"/>
  <c r="M280" i="17"/>
  <c r="M281" i="17"/>
  <c r="M282" i="17"/>
  <c r="M283" i="17"/>
  <c r="M284" i="17"/>
  <c r="M285" i="17"/>
  <c r="M286" i="17"/>
  <c r="M287" i="17"/>
  <c r="M288" i="17"/>
  <c r="M289" i="17"/>
  <c r="M290" i="17"/>
  <c r="M291" i="17"/>
  <c r="M292" i="17"/>
  <c r="M293" i="17"/>
  <c r="M294" i="17"/>
  <c r="M295" i="17"/>
  <c r="M296" i="17"/>
  <c r="M297" i="17"/>
  <c r="M298" i="17"/>
  <c r="M299" i="17"/>
  <c r="M300" i="17"/>
  <c r="M301" i="17"/>
  <c r="M302" i="17"/>
  <c r="M303" i="17"/>
  <c r="M304" i="17"/>
  <c r="M305" i="17"/>
  <c r="M306" i="17"/>
  <c r="M307" i="17"/>
  <c r="M308" i="17"/>
  <c r="M309" i="17"/>
  <c r="M310" i="17"/>
  <c r="M311" i="17"/>
  <c r="M312" i="17"/>
  <c r="M313" i="17"/>
  <c r="M314" i="17"/>
  <c r="M315" i="17"/>
  <c r="M316" i="17"/>
  <c r="M317" i="17"/>
  <c r="M318" i="17"/>
  <c r="M319" i="17"/>
  <c r="M320" i="17"/>
  <c r="M321" i="17"/>
  <c r="M322" i="17"/>
  <c r="M323" i="17"/>
  <c r="M324" i="17"/>
  <c r="M325" i="17"/>
  <c r="M326" i="17"/>
  <c r="M327" i="17"/>
  <c r="M328" i="17"/>
  <c r="M329" i="17"/>
  <c r="M330" i="17"/>
  <c r="M331" i="17"/>
  <c r="M332" i="17"/>
  <c r="M333" i="17"/>
  <c r="M334" i="17"/>
  <c r="M335" i="17"/>
  <c r="M336" i="17"/>
  <c r="M337" i="17"/>
  <c r="M338" i="17"/>
  <c r="M339" i="17"/>
  <c r="M340" i="17"/>
  <c r="M341" i="17"/>
  <c r="M342" i="17"/>
  <c r="M343" i="17"/>
  <c r="M344" i="17"/>
  <c r="M345" i="17"/>
  <c r="M346" i="17"/>
  <c r="M347" i="17"/>
  <c r="M348" i="17"/>
  <c r="M349" i="17"/>
  <c r="M350" i="17"/>
  <c r="M351" i="17"/>
  <c r="M352" i="17"/>
  <c r="M353" i="17"/>
  <c r="M354" i="17"/>
  <c r="M355" i="17"/>
  <c r="M356" i="17"/>
  <c r="M357" i="17"/>
  <c r="M358" i="17"/>
  <c r="M359" i="17"/>
  <c r="M360" i="17"/>
  <c r="M361" i="17"/>
  <c r="M362" i="17"/>
  <c r="M363" i="17"/>
  <c r="M364" i="17"/>
  <c r="M365" i="17"/>
  <c r="M366" i="17"/>
  <c r="M367" i="17"/>
  <c r="M368" i="17"/>
  <c r="M369" i="17"/>
  <c r="M370" i="17"/>
  <c r="M371" i="17"/>
  <c r="M372" i="17"/>
  <c r="M373" i="17"/>
  <c r="M374" i="17"/>
  <c r="M375" i="17"/>
  <c r="M376" i="17"/>
  <c r="M377" i="17"/>
  <c r="M378" i="17"/>
  <c r="M379" i="17"/>
  <c r="M380" i="17"/>
  <c r="M381" i="17"/>
  <c r="M382" i="17"/>
  <c r="M383" i="17"/>
  <c r="M384" i="17"/>
  <c r="M385" i="17"/>
  <c r="M386" i="17"/>
  <c r="M387" i="17"/>
  <c r="M388" i="17"/>
  <c r="M389" i="17"/>
  <c r="M390" i="17"/>
  <c r="M391" i="17"/>
  <c r="M392" i="17"/>
  <c r="M393" i="17"/>
  <c r="M394" i="17"/>
  <c r="M395" i="17"/>
  <c r="M396" i="17"/>
  <c r="M397" i="17"/>
  <c r="M398" i="17"/>
  <c r="M399" i="17"/>
  <c r="M400" i="17"/>
  <c r="M401" i="17"/>
  <c r="M402" i="17"/>
  <c r="M403" i="17"/>
  <c r="M404" i="17"/>
  <c r="M405" i="17"/>
  <c r="M406" i="17"/>
  <c r="M407" i="17"/>
  <c r="M408" i="17"/>
  <c r="M409" i="17"/>
  <c r="M410" i="17"/>
  <c r="M411" i="17"/>
  <c r="M412" i="17"/>
  <c r="M413" i="17"/>
  <c r="M414" i="17"/>
  <c r="M415" i="17"/>
  <c r="M416" i="17"/>
  <c r="M417" i="17"/>
  <c r="M418" i="17"/>
  <c r="M419" i="17"/>
  <c r="M420" i="17"/>
  <c r="M421" i="17"/>
  <c r="M422" i="17"/>
  <c r="M423" i="17"/>
  <c r="M424" i="17"/>
  <c r="M425" i="17"/>
  <c r="M426" i="17"/>
  <c r="M427" i="17"/>
  <c r="M428" i="17"/>
  <c r="M429" i="17"/>
  <c r="M430" i="17"/>
  <c r="M431" i="17"/>
  <c r="M432" i="17"/>
  <c r="M433" i="17"/>
  <c r="M434" i="17"/>
  <c r="M435" i="17"/>
  <c r="M436" i="17"/>
  <c r="M437" i="17"/>
  <c r="M438" i="17"/>
  <c r="M439" i="17"/>
  <c r="M440" i="17"/>
  <c r="M441" i="17"/>
  <c r="M442" i="17"/>
  <c r="M443" i="17"/>
  <c r="M444" i="17"/>
  <c r="M445" i="17"/>
  <c r="M446" i="17"/>
  <c r="M447" i="17"/>
  <c r="M448" i="17"/>
  <c r="M449" i="17"/>
  <c r="M450" i="17"/>
  <c r="M451" i="17"/>
  <c r="M452" i="17"/>
  <c r="M453" i="17"/>
  <c r="M454" i="17"/>
  <c r="M455" i="17"/>
  <c r="M456" i="17"/>
  <c r="M457" i="17"/>
  <c r="M458" i="17"/>
  <c r="M459" i="17"/>
  <c r="M460" i="17"/>
  <c r="M461" i="17"/>
  <c r="M462" i="17"/>
  <c r="M463" i="17"/>
  <c r="M464" i="17"/>
  <c r="M465" i="17"/>
  <c r="M466" i="17"/>
  <c r="M467" i="17"/>
  <c r="M468" i="17"/>
  <c r="M469" i="17"/>
  <c r="M470" i="17"/>
  <c r="M471" i="17"/>
  <c r="M472" i="17"/>
  <c r="M473" i="17"/>
  <c r="M474" i="17"/>
  <c r="M475" i="17"/>
  <c r="M476" i="17"/>
  <c r="M477" i="17"/>
  <c r="M478" i="17"/>
  <c r="M479" i="17"/>
  <c r="M480" i="17"/>
  <c r="M481" i="17"/>
  <c r="M482" i="17"/>
  <c r="M483" i="17"/>
  <c r="M484" i="17"/>
  <c r="M485" i="17"/>
  <c r="M486" i="17"/>
  <c r="M487" i="17"/>
  <c r="M488" i="17"/>
  <c r="M489" i="17"/>
  <c r="M490" i="17"/>
  <c r="M491" i="17"/>
  <c r="M492" i="17"/>
  <c r="M493" i="17"/>
  <c r="M494" i="17"/>
  <c r="M495" i="17"/>
  <c r="M496" i="17"/>
  <c r="M497" i="17"/>
  <c r="M498" i="17"/>
  <c r="M499" i="17"/>
  <c r="M500" i="17"/>
  <c r="M501" i="17"/>
  <c r="M502" i="17"/>
  <c r="M503" i="17"/>
  <c r="M504" i="17"/>
  <c r="M505" i="17"/>
  <c r="M506" i="17"/>
  <c r="M507" i="17"/>
  <c r="M508" i="17"/>
  <c r="M509" i="17"/>
  <c r="M510" i="17"/>
  <c r="M511" i="17"/>
  <c r="M512" i="17"/>
  <c r="M513" i="17"/>
  <c r="M514" i="17"/>
  <c r="M515" i="17"/>
  <c r="M516" i="17"/>
  <c r="M517" i="17"/>
  <c r="M518" i="17"/>
  <c r="M519" i="17"/>
  <c r="M520" i="17"/>
  <c r="M521" i="17"/>
  <c r="M522" i="17"/>
  <c r="M523" i="17"/>
  <c r="M524" i="17"/>
  <c r="M525" i="17"/>
  <c r="M526" i="17"/>
  <c r="M527" i="17"/>
  <c r="M528" i="17"/>
  <c r="M529" i="17"/>
  <c r="M530" i="17"/>
  <c r="M531" i="17"/>
  <c r="M532" i="17"/>
  <c r="M533" i="17"/>
  <c r="M534" i="17"/>
  <c r="M535" i="17"/>
  <c r="M536" i="17"/>
  <c r="M537" i="17"/>
  <c r="M538" i="17"/>
  <c r="M539" i="17"/>
  <c r="M540" i="17"/>
  <c r="M541" i="17"/>
  <c r="M542" i="17"/>
  <c r="M543" i="17"/>
  <c r="M544" i="17"/>
  <c r="M545" i="17"/>
  <c r="M546" i="17"/>
  <c r="M547" i="17"/>
  <c r="M548" i="17"/>
  <c r="M549" i="17"/>
  <c r="M550" i="17"/>
  <c r="M551" i="17"/>
  <c r="M552" i="17"/>
  <c r="M553" i="17"/>
  <c r="M554" i="17"/>
  <c r="M555" i="17"/>
  <c r="M556" i="17"/>
  <c r="M557" i="17"/>
  <c r="M558" i="17"/>
  <c r="M559" i="17"/>
  <c r="M560" i="17"/>
  <c r="M561" i="17"/>
  <c r="M562" i="17"/>
  <c r="M563" i="17"/>
  <c r="M564" i="17"/>
  <c r="M565" i="17"/>
  <c r="M566" i="17"/>
  <c r="M567" i="17"/>
  <c r="M568" i="17"/>
  <c r="M569" i="17"/>
  <c r="M570" i="17"/>
  <c r="M571" i="17"/>
  <c r="M572" i="17"/>
  <c r="M573" i="17"/>
  <c r="M574" i="17"/>
  <c r="M575" i="17"/>
  <c r="M576" i="17"/>
  <c r="M577" i="17"/>
  <c r="M578" i="17"/>
  <c r="M579" i="17"/>
  <c r="M580" i="17"/>
  <c r="M581" i="17"/>
  <c r="M582" i="17"/>
  <c r="M583" i="17"/>
  <c r="M584" i="17"/>
  <c r="M585" i="17"/>
  <c r="M586" i="17"/>
  <c r="M587" i="17"/>
  <c r="M588" i="17"/>
  <c r="M589" i="17"/>
  <c r="M590" i="17"/>
  <c r="M591" i="17"/>
  <c r="M592" i="17"/>
  <c r="M593" i="17"/>
  <c r="M594" i="17"/>
  <c r="M595" i="17"/>
  <c r="M596" i="17"/>
  <c r="M597" i="17"/>
  <c r="M598" i="17"/>
  <c r="M599" i="17"/>
  <c r="M600" i="17"/>
  <c r="M601" i="17"/>
  <c r="M602" i="17"/>
  <c r="M603" i="17"/>
  <c r="M604" i="17"/>
  <c r="M605" i="17"/>
  <c r="M606" i="17"/>
  <c r="M607" i="17"/>
  <c r="M608" i="17"/>
  <c r="M609" i="17"/>
  <c r="M610" i="17"/>
  <c r="M611" i="17"/>
  <c r="M612" i="17"/>
  <c r="M613" i="17"/>
  <c r="M614" i="17"/>
  <c r="M615" i="17"/>
  <c r="M616" i="17"/>
  <c r="M617" i="17"/>
  <c r="M618" i="17"/>
  <c r="M619" i="17"/>
  <c r="M620" i="17"/>
  <c r="M621" i="17"/>
  <c r="M622" i="17"/>
  <c r="M623" i="17"/>
  <c r="M624" i="17"/>
  <c r="M625" i="17"/>
  <c r="M626" i="17"/>
  <c r="M627" i="17"/>
  <c r="M628" i="17"/>
  <c r="M629" i="17"/>
  <c r="M630" i="17"/>
  <c r="M631" i="17"/>
  <c r="M632" i="17"/>
  <c r="M633" i="17"/>
  <c r="M634" i="17"/>
  <c r="M635" i="17"/>
  <c r="M636" i="17"/>
  <c r="M637" i="17"/>
  <c r="M638" i="17"/>
  <c r="M639" i="17"/>
  <c r="M640" i="17"/>
  <c r="M641" i="17"/>
  <c r="M642" i="17"/>
  <c r="M643" i="17"/>
  <c r="M644" i="17"/>
  <c r="M645" i="17"/>
  <c r="M646" i="17"/>
  <c r="M647" i="17"/>
  <c r="M648" i="17"/>
  <c r="M649" i="17"/>
  <c r="M650" i="17"/>
  <c r="M651" i="17"/>
  <c r="M652" i="17"/>
  <c r="M653" i="17"/>
  <c r="M654" i="17"/>
  <c r="M655" i="17"/>
  <c r="M656" i="17"/>
  <c r="M657" i="17"/>
  <c r="M658" i="17"/>
  <c r="M659" i="17"/>
  <c r="M660" i="17"/>
  <c r="M661" i="17"/>
  <c r="M662" i="17"/>
  <c r="M663" i="17"/>
  <c r="M664" i="17"/>
  <c r="M665" i="17"/>
  <c r="M666" i="17"/>
  <c r="M667" i="17"/>
  <c r="M668" i="17"/>
  <c r="M669" i="17"/>
  <c r="M670" i="17"/>
  <c r="M671" i="17"/>
  <c r="M672" i="17"/>
  <c r="M673" i="17"/>
  <c r="M674" i="17"/>
  <c r="M675" i="17"/>
  <c r="M676" i="17"/>
  <c r="M677" i="17"/>
  <c r="M678" i="17"/>
  <c r="M679" i="17"/>
  <c r="M680" i="17"/>
  <c r="M681" i="17"/>
  <c r="M682" i="17"/>
  <c r="M683" i="17"/>
  <c r="M684" i="17"/>
  <c r="M685" i="17"/>
  <c r="M686" i="17"/>
  <c r="M687" i="17"/>
  <c r="M688" i="17"/>
  <c r="M689" i="17"/>
  <c r="M690" i="17"/>
  <c r="M691" i="17"/>
  <c r="M692" i="17"/>
  <c r="M693" i="17"/>
  <c r="M694" i="17"/>
  <c r="M695" i="17"/>
  <c r="M696" i="17"/>
  <c r="M697" i="17"/>
  <c r="M698" i="17"/>
  <c r="M699" i="17"/>
  <c r="M700" i="17"/>
  <c r="M701" i="17"/>
  <c r="M702" i="17"/>
  <c r="M703" i="17"/>
  <c r="M704" i="17"/>
  <c r="M705" i="17"/>
  <c r="M706" i="17"/>
  <c r="M707" i="17"/>
  <c r="M708" i="17"/>
  <c r="M709" i="17"/>
  <c r="M710" i="17"/>
  <c r="M711" i="17"/>
  <c r="M712" i="17"/>
  <c r="M713" i="17"/>
  <c r="M714" i="17"/>
  <c r="M715" i="17"/>
  <c r="M716" i="17"/>
  <c r="M717" i="17"/>
  <c r="M718" i="17"/>
  <c r="M719" i="17"/>
  <c r="M720" i="17"/>
  <c r="M721" i="17"/>
  <c r="M722" i="17"/>
  <c r="M723" i="17"/>
  <c r="M724" i="17"/>
  <c r="M725" i="17"/>
  <c r="M726" i="17"/>
  <c r="M727" i="17"/>
  <c r="M728" i="17"/>
  <c r="M729" i="17"/>
  <c r="M730" i="17"/>
  <c r="M731" i="17"/>
  <c r="M732" i="17"/>
  <c r="M733" i="17"/>
  <c r="M734" i="17"/>
  <c r="M735" i="17"/>
  <c r="M736" i="17"/>
  <c r="M737" i="17"/>
  <c r="M738" i="17"/>
  <c r="M739" i="17"/>
  <c r="M740" i="17"/>
  <c r="M741" i="17"/>
  <c r="M742" i="17"/>
  <c r="M743" i="17"/>
  <c r="M744" i="17"/>
  <c r="M745" i="17"/>
  <c r="M746" i="17"/>
  <c r="M747" i="17"/>
  <c r="M748" i="17"/>
  <c r="M749" i="17"/>
  <c r="M750" i="17"/>
  <c r="M751" i="17"/>
  <c r="M752" i="17"/>
  <c r="M753" i="17"/>
  <c r="M754" i="17"/>
  <c r="M755" i="17"/>
  <c r="M756" i="17"/>
  <c r="M757" i="17"/>
  <c r="M758" i="17"/>
  <c r="M759" i="17"/>
  <c r="M760" i="17"/>
  <c r="M761" i="17"/>
  <c r="M762" i="17"/>
  <c r="M763" i="17"/>
  <c r="M764" i="17"/>
  <c r="M765" i="17"/>
  <c r="M766" i="17"/>
  <c r="M767" i="17"/>
  <c r="M768" i="17"/>
  <c r="M769" i="17"/>
  <c r="M770" i="17"/>
  <c r="M771" i="17"/>
  <c r="M772" i="17"/>
  <c r="M773" i="17"/>
  <c r="M774" i="17"/>
  <c r="M775" i="17"/>
  <c r="M776" i="17"/>
  <c r="M777" i="17"/>
  <c r="M778" i="17"/>
  <c r="M779" i="17"/>
  <c r="M780" i="17"/>
  <c r="M781" i="17"/>
  <c r="M782" i="17"/>
  <c r="M783" i="17"/>
  <c r="M784" i="17"/>
  <c r="M785" i="17"/>
  <c r="M786" i="17"/>
  <c r="M787" i="17"/>
  <c r="M788" i="17"/>
  <c r="M789" i="17"/>
  <c r="M790" i="17"/>
  <c r="M791" i="17"/>
  <c r="M792" i="17"/>
  <c r="M793" i="17"/>
  <c r="M794" i="17"/>
  <c r="M795" i="17"/>
  <c r="M796" i="17"/>
  <c r="M797" i="17"/>
  <c r="M798" i="17"/>
  <c r="M799" i="17"/>
  <c r="M800" i="17"/>
  <c r="M801" i="17"/>
  <c r="M802" i="17"/>
  <c r="M803" i="17"/>
  <c r="M804" i="17"/>
  <c r="M805" i="17"/>
  <c r="M806" i="17"/>
  <c r="M807" i="17"/>
  <c r="M808" i="17"/>
  <c r="M809" i="17"/>
  <c r="M810" i="17"/>
  <c r="M811" i="17"/>
  <c r="M812" i="17"/>
  <c r="M813" i="17"/>
  <c r="M814" i="17"/>
  <c r="M815" i="17"/>
  <c r="M816" i="17"/>
  <c r="M817" i="17"/>
  <c r="M818" i="17"/>
  <c r="M819" i="17"/>
  <c r="M820" i="17"/>
  <c r="M821" i="17"/>
  <c r="M822" i="17"/>
  <c r="M823" i="17"/>
  <c r="M824" i="17"/>
  <c r="M825" i="17"/>
  <c r="M826" i="17"/>
  <c r="M827" i="17"/>
  <c r="M828" i="17"/>
  <c r="M829" i="17"/>
  <c r="M830" i="17"/>
  <c r="M831" i="17"/>
  <c r="M832" i="17"/>
  <c r="M833" i="17"/>
  <c r="M834" i="17"/>
  <c r="M835" i="17"/>
  <c r="M836" i="17"/>
  <c r="M837" i="17"/>
  <c r="M838" i="17"/>
  <c r="M839" i="17"/>
  <c r="M840" i="17"/>
  <c r="M841" i="17"/>
  <c r="M842" i="17"/>
  <c r="M843" i="17"/>
  <c r="M844" i="17"/>
  <c r="M845" i="17"/>
  <c r="M846" i="17"/>
  <c r="M847" i="17"/>
  <c r="M848" i="17"/>
  <c r="M849" i="17"/>
  <c r="M850" i="17"/>
  <c r="M851" i="17"/>
  <c r="M852" i="17"/>
  <c r="M853" i="17"/>
  <c r="M854" i="17"/>
  <c r="M855" i="17"/>
  <c r="M856" i="17"/>
  <c r="M857" i="17"/>
  <c r="M858" i="17"/>
  <c r="M859" i="17"/>
  <c r="M860" i="17"/>
  <c r="M861" i="17"/>
  <c r="M862" i="17"/>
  <c r="M863" i="17"/>
  <c r="M864" i="17"/>
  <c r="M865" i="17"/>
  <c r="M866" i="17"/>
  <c r="M867" i="17"/>
  <c r="M868" i="17"/>
  <c r="M869" i="17"/>
  <c r="M870" i="17"/>
  <c r="M871" i="17"/>
  <c r="M872" i="17"/>
  <c r="M873" i="17"/>
  <c r="M874" i="17"/>
  <c r="M875" i="17"/>
  <c r="M876" i="17"/>
  <c r="M877" i="17"/>
  <c r="M878" i="17"/>
  <c r="M879" i="17"/>
  <c r="M880" i="17"/>
  <c r="M881" i="17"/>
  <c r="M882" i="17"/>
  <c r="M883" i="17"/>
  <c r="M884" i="17"/>
  <c r="M885" i="17"/>
  <c r="M886" i="17"/>
  <c r="M887" i="17"/>
  <c r="M888" i="17"/>
  <c r="M889" i="17"/>
  <c r="M890" i="17"/>
  <c r="M891" i="17"/>
  <c r="M892" i="17"/>
  <c r="M893" i="17"/>
  <c r="M894" i="17"/>
  <c r="M895" i="17"/>
  <c r="M896" i="17"/>
  <c r="M897" i="17"/>
  <c r="M898" i="17"/>
  <c r="M899" i="17"/>
  <c r="M900" i="17"/>
  <c r="M901" i="17"/>
  <c r="M902" i="17"/>
  <c r="M903" i="17"/>
  <c r="M904" i="17"/>
  <c r="M905" i="17"/>
  <c r="M906" i="17"/>
  <c r="M907" i="17"/>
  <c r="M908" i="17"/>
  <c r="M909" i="17"/>
  <c r="M910" i="17"/>
  <c r="M911" i="17"/>
  <c r="M912" i="17"/>
  <c r="M913" i="17"/>
  <c r="M914" i="17"/>
  <c r="M915" i="17"/>
  <c r="M916" i="17"/>
  <c r="M917" i="17"/>
  <c r="M918" i="17"/>
  <c r="M919" i="17"/>
  <c r="M920" i="17"/>
  <c r="M921" i="17"/>
  <c r="M922" i="17"/>
  <c r="M923" i="17"/>
  <c r="M924" i="17"/>
  <c r="M925" i="17"/>
  <c r="M926" i="17"/>
  <c r="M927" i="17"/>
  <c r="M928" i="17"/>
  <c r="M929" i="17"/>
  <c r="M930" i="17"/>
  <c r="M931" i="17"/>
  <c r="M932" i="17"/>
  <c r="M933" i="17"/>
  <c r="M934" i="17"/>
  <c r="M935" i="17"/>
  <c r="M936" i="17"/>
  <c r="M937" i="17"/>
  <c r="M938" i="17"/>
  <c r="M939" i="17"/>
  <c r="M940" i="17"/>
  <c r="M941" i="17"/>
  <c r="M942" i="17"/>
  <c r="M943" i="17"/>
  <c r="M944" i="17"/>
  <c r="M945" i="17"/>
  <c r="M946" i="17"/>
  <c r="M947" i="17"/>
  <c r="M948" i="17"/>
  <c r="M949" i="17"/>
  <c r="M950" i="17"/>
  <c r="M951" i="17"/>
  <c r="M952" i="17"/>
  <c r="M953" i="17"/>
  <c r="M954" i="17"/>
  <c r="M955" i="17"/>
  <c r="M956" i="17"/>
  <c r="M957" i="17"/>
  <c r="M958" i="17"/>
  <c r="M959" i="17"/>
  <c r="M960" i="17"/>
  <c r="M961" i="17"/>
  <c r="M962" i="17"/>
  <c r="M963" i="17"/>
  <c r="M964" i="17"/>
  <c r="M965" i="17"/>
  <c r="M966" i="17"/>
  <c r="M967" i="17"/>
  <c r="M968" i="17"/>
  <c r="M969" i="17"/>
  <c r="M970" i="17"/>
  <c r="M971" i="17"/>
  <c r="M972" i="17"/>
  <c r="M973" i="17"/>
  <c r="M974" i="17"/>
  <c r="M975" i="17"/>
  <c r="M976" i="17"/>
  <c r="M977" i="17"/>
  <c r="M978" i="17"/>
  <c r="M979" i="17"/>
  <c r="M980" i="17"/>
  <c r="M981" i="17"/>
  <c r="M982" i="17"/>
  <c r="M983" i="17"/>
  <c r="M984" i="17"/>
  <c r="M985" i="17"/>
  <c r="M986" i="17"/>
  <c r="M987" i="17"/>
  <c r="M988" i="17"/>
  <c r="M989" i="17"/>
  <c r="M990" i="17"/>
  <c r="M991" i="17"/>
  <c r="M992" i="17"/>
  <c r="M993" i="17"/>
  <c r="M994" i="17"/>
  <c r="M995" i="17"/>
  <c r="M996" i="17"/>
  <c r="M997" i="17"/>
  <c r="M998" i="17"/>
  <c r="M999" i="17"/>
  <c r="M1000" i="17"/>
  <c r="M1001" i="17"/>
  <c r="M2" i="17"/>
  <c r="J4" i="17"/>
  <c r="K4" i="17"/>
  <c r="L4" i="17"/>
  <c r="J5" i="17"/>
  <c r="K5" i="17"/>
  <c r="L5" i="17"/>
  <c r="J6" i="17"/>
  <c r="K6" i="17"/>
  <c r="L6" i="17"/>
  <c r="J7" i="17"/>
  <c r="K7" i="17"/>
  <c r="L7" i="17"/>
  <c r="J8" i="17"/>
  <c r="K8" i="17"/>
  <c r="L8" i="17"/>
  <c r="J9" i="17"/>
  <c r="K9" i="17"/>
  <c r="L9" i="17"/>
  <c r="J10" i="17"/>
  <c r="K10" i="17"/>
  <c r="L10" i="17"/>
  <c r="J11" i="17"/>
  <c r="K11" i="17"/>
  <c r="L11" i="17"/>
  <c r="J12" i="17"/>
  <c r="K12" i="17"/>
  <c r="L12" i="17"/>
  <c r="J13" i="17"/>
  <c r="K13" i="17"/>
  <c r="L13" i="17"/>
  <c r="J14" i="17"/>
  <c r="K14" i="17"/>
  <c r="L14" i="17"/>
  <c r="J15" i="17"/>
  <c r="K15" i="17"/>
  <c r="L15" i="17"/>
  <c r="J16" i="17"/>
  <c r="K16" i="17"/>
  <c r="L16" i="17"/>
  <c r="J17" i="17"/>
  <c r="K17" i="17"/>
  <c r="L17" i="17"/>
  <c r="J18" i="17"/>
  <c r="K18" i="17"/>
  <c r="L18" i="17"/>
  <c r="J19" i="17"/>
  <c r="K19" i="17"/>
  <c r="L19" i="17"/>
  <c r="J20" i="17"/>
  <c r="K20" i="17"/>
  <c r="L20" i="17"/>
  <c r="J21" i="17"/>
  <c r="K21" i="17"/>
  <c r="L21" i="17"/>
  <c r="J22" i="17"/>
  <c r="K22" i="17"/>
  <c r="L22" i="17"/>
  <c r="J23" i="17"/>
  <c r="K23" i="17"/>
  <c r="L23" i="17"/>
  <c r="J24" i="17"/>
  <c r="K24" i="17"/>
  <c r="L24" i="17"/>
  <c r="J25" i="17"/>
  <c r="K25" i="17"/>
  <c r="L25" i="17"/>
  <c r="J26" i="17"/>
  <c r="K26" i="17"/>
  <c r="L26" i="17"/>
  <c r="J27" i="17"/>
  <c r="K27" i="17"/>
  <c r="L27" i="17"/>
  <c r="J28" i="17"/>
  <c r="K28" i="17"/>
  <c r="L28" i="17"/>
  <c r="J29" i="17"/>
  <c r="K29" i="17"/>
  <c r="L29" i="17"/>
  <c r="J30" i="17"/>
  <c r="K30" i="17"/>
  <c r="L30" i="17"/>
  <c r="J31" i="17"/>
  <c r="K31" i="17"/>
  <c r="L31" i="17"/>
  <c r="J32" i="17"/>
  <c r="K32" i="17"/>
  <c r="L32" i="17"/>
  <c r="J33" i="17"/>
  <c r="K33" i="17"/>
  <c r="L33" i="17"/>
  <c r="J34" i="17"/>
  <c r="K34" i="17"/>
  <c r="L34" i="17"/>
  <c r="J35" i="17"/>
  <c r="K35" i="17"/>
  <c r="L35" i="17"/>
  <c r="J36" i="17"/>
  <c r="K36" i="17"/>
  <c r="L36" i="17"/>
  <c r="J37" i="17"/>
  <c r="K37" i="17"/>
  <c r="L37" i="17"/>
  <c r="J38" i="17"/>
  <c r="K38" i="17"/>
  <c r="L38" i="17"/>
  <c r="J39" i="17"/>
  <c r="K39" i="17"/>
  <c r="L39" i="17"/>
  <c r="J40" i="17"/>
  <c r="K40" i="17"/>
  <c r="L40" i="17"/>
  <c r="J41" i="17"/>
  <c r="K41" i="17"/>
  <c r="L41" i="17"/>
  <c r="J42" i="17"/>
  <c r="K42" i="17"/>
  <c r="L42" i="17"/>
  <c r="J43" i="17"/>
  <c r="K43" i="17"/>
  <c r="L43" i="17"/>
  <c r="J44" i="17"/>
  <c r="K44" i="17"/>
  <c r="L44" i="17"/>
  <c r="J45" i="17"/>
  <c r="K45" i="17"/>
  <c r="L45" i="17"/>
  <c r="J46" i="17"/>
  <c r="K46" i="17"/>
  <c r="L46" i="17"/>
  <c r="J47" i="17"/>
  <c r="K47" i="17"/>
  <c r="L47" i="17"/>
  <c r="J48" i="17"/>
  <c r="K48" i="17"/>
  <c r="L48" i="17"/>
  <c r="J49" i="17"/>
  <c r="K49" i="17"/>
  <c r="L49" i="17"/>
  <c r="J50" i="17"/>
  <c r="K50" i="17"/>
  <c r="L50" i="17"/>
  <c r="J51" i="17"/>
  <c r="K51" i="17"/>
  <c r="L51" i="17"/>
  <c r="J52" i="17"/>
  <c r="K52" i="17"/>
  <c r="L52" i="17"/>
  <c r="J53" i="17"/>
  <c r="K53" i="17"/>
  <c r="L53" i="17"/>
  <c r="J54" i="17"/>
  <c r="K54" i="17"/>
  <c r="L54" i="17"/>
  <c r="J55" i="17"/>
  <c r="K55" i="17"/>
  <c r="L55" i="17"/>
  <c r="J56" i="17"/>
  <c r="K56" i="17"/>
  <c r="L56" i="17"/>
  <c r="J57" i="17"/>
  <c r="K57" i="17"/>
  <c r="L57" i="17"/>
  <c r="J58" i="17"/>
  <c r="K58" i="17"/>
  <c r="L58" i="17"/>
  <c r="J59" i="17"/>
  <c r="K59" i="17"/>
  <c r="L59" i="17"/>
  <c r="J60" i="17"/>
  <c r="K60" i="17"/>
  <c r="L60" i="17"/>
  <c r="J61" i="17"/>
  <c r="K61" i="17"/>
  <c r="L61" i="17"/>
  <c r="J62" i="17"/>
  <c r="K62" i="17"/>
  <c r="L62" i="17"/>
  <c r="J63" i="17"/>
  <c r="K63" i="17"/>
  <c r="L63" i="17"/>
  <c r="J64" i="17"/>
  <c r="K64" i="17"/>
  <c r="L64" i="17"/>
  <c r="J65" i="17"/>
  <c r="K65" i="17"/>
  <c r="L65" i="17"/>
  <c r="J66" i="17"/>
  <c r="K66" i="17"/>
  <c r="L66" i="17"/>
  <c r="J67" i="17"/>
  <c r="K67" i="17"/>
  <c r="L67" i="17"/>
  <c r="J68" i="17"/>
  <c r="K68" i="17"/>
  <c r="L68" i="17"/>
  <c r="J69" i="17"/>
  <c r="K69" i="17"/>
  <c r="L69" i="17"/>
  <c r="J70" i="17"/>
  <c r="K70" i="17"/>
  <c r="L70" i="17"/>
  <c r="J71" i="17"/>
  <c r="K71" i="17"/>
  <c r="L71" i="17"/>
  <c r="J72" i="17"/>
  <c r="K72" i="17"/>
  <c r="L72" i="17"/>
  <c r="J73" i="17"/>
  <c r="K73" i="17"/>
  <c r="L73" i="17"/>
  <c r="J74" i="17"/>
  <c r="K74" i="17"/>
  <c r="L74" i="17"/>
  <c r="J75" i="17"/>
  <c r="K75" i="17"/>
  <c r="L75" i="17"/>
  <c r="J76" i="17"/>
  <c r="K76" i="17"/>
  <c r="L76" i="17"/>
  <c r="J77" i="17"/>
  <c r="K77" i="17"/>
  <c r="L77" i="17"/>
  <c r="J78" i="17"/>
  <c r="K78" i="17"/>
  <c r="L78" i="17"/>
  <c r="J79" i="17"/>
  <c r="K79" i="17"/>
  <c r="L79" i="17"/>
  <c r="J80" i="17"/>
  <c r="K80" i="17"/>
  <c r="L80" i="17"/>
  <c r="J81" i="17"/>
  <c r="K81" i="17"/>
  <c r="L81" i="17"/>
  <c r="J82" i="17"/>
  <c r="K82" i="17"/>
  <c r="L82" i="17"/>
  <c r="J83" i="17"/>
  <c r="K83" i="17"/>
  <c r="L83" i="17"/>
  <c r="J84" i="17"/>
  <c r="K84" i="17"/>
  <c r="L84" i="17"/>
  <c r="J85" i="17"/>
  <c r="K85" i="17"/>
  <c r="L85" i="17"/>
  <c r="J86" i="17"/>
  <c r="K86" i="17"/>
  <c r="L86" i="17"/>
  <c r="J87" i="17"/>
  <c r="K87" i="17"/>
  <c r="L87" i="17"/>
  <c r="J88" i="17"/>
  <c r="K88" i="17"/>
  <c r="L88" i="17"/>
  <c r="J89" i="17"/>
  <c r="K89" i="17"/>
  <c r="L89" i="17"/>
  <c r="J90" i="17"/>
  <c r="K90" i="17"/>
  <c r="L90" i="17"/>
  <c r="J91" i="17"/>
  <c r="K91" i="17"/>
  <c r="L91" i="17"/>
  <c r="J92" i="17"/>
  <c r="K92" i="17"/>
  <c r="L92" i="17"/>
  <c r="J93" i="17"/>
  <c r="K93" i="17"/>
  <c r="L93" i="17"/>
  <c r="J94" i="17"/>
  <c r="K94" i="17"/>
  <c r="L94" i="17"/>
  <c r="J95" i="17"/>
  <c r="K95" i="17"/>
  <c r="L95" i="17"/>
  <c r="J96" i="17"/>
  <c r="K96" i="17"/>
  <c r="L96" i="17"/>
  <c r="J97" i="17"/>
  <c r="K97" i="17"/>
  <c r="L97" i="17"/>
  <c r="J98" i="17"/>
  <c r="K98" i="17"/>
  <c r="L98" i="17"/>
  <c r="J99" i="17"/>
  <c r="K99" i="17"/>
  <c r="L99" i="17"/>
  <c r="J100" i="17"/>
  <c r="K100" i="17"/>
  <c r="L100" i="17"/>
  <c r="J101" i="17"/>
  <c r="K101" i="17"/>
  <c r="L101" i="17"/>
  <c r="J102" i="17"/>
  <c r="K102" i="17"/>
  <c r="L102" i="17"/>
  <c r="J103" i="17"/>
  <c r="K103" i="17"/>
  <c r="L103" i="17"/>
  <c r="J104" i="17"/>
  <c r="K104" i="17"/>
  <c r="L104" i="17"/>
  <c r="J105" i="17"/>
  <c r="K105" i="17"/>
  <c r="L105" i="17"/>
  <c r="J106" i="17"/>
  <c r="K106" i="17"/>
  <c r="L106" i="17"/>
  <c r="J107" i="17"/>
  <c r="K107" i="17"/>
  <c r="L107" i="17"/>
  <c r="J108" i="17"/>
  <c r="K108" i="17"/>
  <c r="L108" i="17"/>
  <c r="J109" i="17"/>
  <c r="K109" i="17"/>
  <c r="L109" i="17"/>
  <c r="J110" i="17"/>
  <c r="K110" i="17"/>
  <c r="L110" i="17"/>
  <c r="J111" i="17"/>
  <c r="K111" i="17"/>
  <c r="L111" i="17"/>
  <c r="J112" i="17"/>
  <c r="K112" i="17"/>
  <c r="L112" i="17"/>
  <c r="J113" i="17"/>
  <c r="K113" i="17"/>
  <c r="L113" i="17"/>
  <c r="J114" i="17"/>
  <c r="K114" i="17"/>
  <c r="L114" i="17"/>
  <c r="J115" i="17"/>
  <c r="K115" i="17"/>
  <c r="L115" i="17"/>
  <c r="J116" i="17"/>
  <c r="K116" i="17"/>
  <c r="L116" i="17"/>
  <c r="J117" i="17"/>
  <c r="K117" i="17"/>
  <c r="L117" i="17"/>
  <c r="J118" i="17"/>
  <c r="K118" i="17"/>
  <c r="L118" i="17"/>
  <c r="J119" i="17"/>
  <c r="K119" i="17"/>
  <c r="L119" i="17"/>
  <c r="J120" i="17"/>
  <c r="K120" i="17"/>
  <c r="L120" i="17"/>
  <c r="J121" i="17"/>
  <c r="K121" i="17"/>
  <c r="L121" i="17"/>
  <c r="J122" i="17"/>
  <c r="K122" i="17"/>
  <c r="L122" i="17"/>
  <c r="J123" i="17"/>
  <c r="K123" i="17"/>
  <c r="L123" i="17"/>
  <c r="J124" i="17"/>
  <c r="K124" i="17"/>
  <c r="L124" i="17"/>
  <c r="J125" i="17"/>
  <c r="K125" i="17"/>
  <c r="L125" i="17"/>
  <c r="J126" i="17"/>
  <c r="K126" i="17"/>
  <c r="L126" i="17"/>
  <c r="J127" i="17"/>
  <c r="K127" i="17"/>
  <c r="L127" i="17"/>
  <c r="J128" i="17"/>
  <c r="K128" i="17"/>
  <c r="L128" i="17"/>
  <c r="J129" i="17"/>
  <c r="K129" i="17"/>
  <c r="L129" i="17"/>
  <c r="J130" i="17"/>
  <c r="K130" i="17"/>
  <c r="L130" i="17"/>
  <c r="J131" i="17"/>
  <c r="K131" i="17"/>
  <c r="L131" i="17"/>
  <c r="J132" i="17"/>
  <c r="K132" i="17"/>
  <c r="L132" i="17"/>
  <c r="J133" i="17"/>
  <c r="K133" i="17"/>
  <c r="L133" i="17"/>
  <c r="J134" i="17"/>
  <c r="K134" i="17"/>
  <c r="L134" i="17"/>
  <c r="J135" i="17"/>
  <c r="K135" i="17"/>
  <c r="L135" i="17"/>
  <c r="J136" i="17"/>
  <c r="K136" i="17"/>
  <c r="L136" i="17"/>
  <c r="J137" i="17"/>
  <c r="K137" i="17"/>
  <c r="L137" i="17"/>
  <c r="J138" i="17"/>
  <c r="K138" i="17"/>
  <c r="L138" i="17"/>
  <c r="J139" i="17"/>
  <c r="K139" i="17"/>
  <c r="L139" i="17"/>
  <c r="J140" i="17"/>
  <c r="K140" i="17"/>
  <c r="L140" i="17"/>
  <c r="J141" i="17"/>
  <c r="K141" i="17"/>
  <c r="L141" i="17"/>
  <c r="J142" i="17"/>
  <c r="K142" i="17"/>
  <c r="L142" i="17"/>
  <c r="J143" i="17"/>
  <c r="K143" i="17"/>
  <c r="L143" i="17"/>
  <c r="J144" i="17"/>
  <c r="K144" i="17"/>
  <c r="L144" i="17"/>
  <c r="J145" i="17"/>
  <c r="K145" i="17"/>
  <c r="L145" i="17"/>
  <c r="J146" i="17"/>
  <c r="K146" i="17"/>
  <c r="L146" i="17"/>
  <c r="J147" i="17"/>
  <c r="K147" i="17"/>
  <c r="L147" i="17"/>
  <c r="J148" i="17"/>
  <c r="K148" i="17"/>
  <c r="L148" i="17"/>
  <c r="J149" i="17"/>
  <c r="K149" i="17"/>
  <c r="L149" i="17"/>
  <c r="J150" i="17"/>
  <c r="K150" i="17"/>
  <c r="L150" i="17"/>
  <c r="J151" i="17"/>
  <c r="K151" i="17"/>
  <c r="L151" i="17"/>
  <c r="J152" i="17"/>
  <c r="K152" i="17"/>
  <c r="L152" i="17"/>
  <c r="J153" i="17"/>
  <c r="K153" i="17"/>
  <c r="L153" i="17"/>
  <c r="J154" i="17"/>
  <c r="K154" i="17"/>
  <c r="L154" i="17"/>
  <c r="J155" i="17"/>
  <c r="K155" i="17"/>
  <c r="L155" i="17"/>
  <c r="J156" i="17"/>
  <c r="K156" i="17"/>
  <c r="L156" i="17"/>
  <c r="J157" i="17"/>
  <c r="K157" i="17"/>
  <c r="L157" i="17"/>
  <c r="J158" i="17"/>
  <c r="K158" i="17"/>
  <c r="L158" i="17"/>
  <c r="J159" i="17"/>
  <c r="K159" i="17"/>
  <c r="L159" i="17"/>
  <c r="J160" i="17"/>
  <c r="K160" i="17"/>
  <c r="L160" i="17"/>
  <c r="J161" i="17"/>
  <c r="K161" i="17"/>
  <c r="L161" i="17"/>
  <c r="J162" i="17"/>
  <c r="K162" i="17"/>
  <c r="L162" i="17"/>
  <c r="J163" i="17"/>
  <c r="K163" i="17"/>
  <c r="L163" i="17"/>
  <c r="J164" i="17"/>
  <c r="K164" i="17"/>
  <c r="L164" i="17"/>
  <c r="J165" i="17"/>
  <c r="K165" i="17"/>
  <c r="L165" i="17"/>
  <c r="J166" i="17"/>
  <c r="K166" i="17"/>
  <c r="L166" i="17"/>
  <c r="J167" i="17"/>
  <c r="K167" i="17"/>
  <c r="L167" i="17"/>
  <c r="J168" i="17"/>
  <c r="K168" i="17"/>
  <c r="L168" i="17"/>
  <c r="J169" i="17"/>
  <c r="K169" i="17"/>
  <c r="L169" i="17"/>
  <c r="J170" i="17"/>
  <c r="K170" i="17"/>
  <c r="L170" i="17"/>
  <c r="J171" i="17"/>
  <c r="K171" i="17"/>
  <c r="L171" i="17"/>
  <c r="J172" i="17"/>
  <c r="K172" i="17"/>
  <c r="L172" i="17"/>
  <c r="J173" i="17"/>
  <c r="K173" i="17"/>
  <c r="L173" i="17"/>
  <c r="J174" i="17"/>
  <c r="K174" i="17"/>
  <c r="L174" i="17"/>
  <c r="J175" i="17"/>
  <c r="K175" i="17"/>
  <c r="L175" i="17"/>
  <c r="J176" i="17"/>
  <c r="K176" i="17"/>
  <c r="L176" i="17"/>
  <c r="J177" i="17"/>
  <c r="K177" i="17"/>
  <c r="L177" i="17"/>
  <c r="J178" i="17"/>
  <c r="K178" i="17"/>
  <c r="L178" i="17"/>
  <c r="J179" i="17"/>
  <c r="K179" i="17"/>
  <c r="L179" i="17"/>
  <c r="J180" i="17"/>
  <c r="K180" i="17"/>
  <c r="L180" i="17"/>
  <c r="J181" i="17"/>
  <c r="K181" i="17"/>
  <c r="L181" i="17"/>
  <c r="J182" i="17"/>
  <c r="K182" i="17"/>
  <c r="L182" i="17"/>
  <c r="J183" i="17"/>
  <c r="K183" i="17"/>
  <c r="L183" i="17"/>
  <c r="J184" i="17"/>
  <c r="K184" i="17"/>
  <c r="L184" i="17"/>
  <c r="J185" i="17"/>
  <c r="K185" i="17"/>
  <c r="L185" i="17"/>
  <c r="J186" i="17"/>
  <c r="K186" i="17"/>
  <c r="L186" i="17"/>
  <c r="J187" i="17"/>
  <c r="K187" i="17"/>
  <c r="L187" i="17"/>
  <c r="J188" i="17"/>
  <c r="K188" i="17"/>
  <c r="L188" i="17"/>
  <c r="J189" i="17"/>
  <c r="K189" i="17"/>
  <c r="L189" i="17"/>
  <c r="J190" i="17"/>
  <c r="K190" i="17"/>
  <c r="L190" i="17"/>
  <c r="J191" i="17"/>
  <c r="K191" i="17"/>
  <c r="L191" i="17"/>
  <c r="J192" i="17"/>
  <c r="K192" i="17"/>
  <c r="L192" i="17"/>
  <c r="J193" i="17"/>
  <c r="K193" i="17"/>
  <c r="L193" i="17"/>
  <c r="J194" i="17"/>
  <c r="K194" i="17"/>
  <c r="L194" i="17"/>
  <c r="J195" i="17"/>
  <c r="K195" i="17"/>
  <c r="L195" i="17"/>
  <c r="J196" i="17"/>
  <c r="K196" i="17"/>
  <c r="L196" i="17"/>
  <c r="J197" i="17"/>
  <c r="K197" i="17"/>
  <c r="L197" i="17"/>
  <c r="J198" i="17"/>
  <c r="K198" i="17"/>
  <c r="L198" i="17"/>
  <c r="J199" i="17"/>
  <c r="K199" i="17"/>
  <c r="L199" i="17"/>
  <c r="J200" i="17"/>
  <c r="K200" i="17"/>
  <c r="L200" i="17"/>
  <c r="J201" i="17"/>
  <c r="K201" i="17"/>
  <c r="L201" i="17"/>
  <c r="J202" i="17"/>
  <c r="K202" i="17"/>
  <c r="L202" i="17"/>
  <c r="J203" i="17"/>
  <c r="K203" i="17"/>
  <c r="L203" i="17"/>
  <c r="J204" i="17"/>
  <c r="K204" i="17"/>
  <c r="L204" i="17"/>
  <c r="J205" i="17"/>
  <c r="K205" i="17"/>
  <c r="L205" i="17"/>
  <c r="J206" i="17"/>
  <c r="K206" i="17"/>
  <c r="L206" i="17"/>
  <c r="J207" i="17"/>
  <c r="K207" i="17"/>
  <c r="L207" i="17"/>
  <c r="J208" i="17"/>
  <c r="K208" i="17"/>
  <c r="L208" i="17"/>
  <c r="J209" i="17"/>
  <c r="K209" i="17"/>
  <c r="L209" i="17"/>
  <c r="J210" i="17"/>
  <c r="K210" i="17"/>
  <c r="L210" i="17"/>
  <c r="J211" i="17"/>
  <c r="K211" i="17"/>
  <c r="L211" i="17"/>
  <c r="J212" i="17"/>
  <c r="K212" i="17"/>
  <c r="L212" i="17"/>
  <c r="J213" i="17"/>
  <c r="K213" i="17"/>
  <c r="L213" i="17"/>
  <c r="J214" i="17"/>
  <c r="K214" i="17"/>
  <c r="L214" i="17"/>
  <c r="J215" i="17"/>
  <c r="K215" i="17"/>
  <c r="L215" i="17"/>
  <c r="J216" i="17"/>
  <c r="K216" i="17"/>
  <c r="L216" i="17"/>
  <c r="J217" i="17"/>
  <c r="K217" i="17"/>
  <c r="L217" i="17"/>
  <c r="J218" i="17"/>
  <c r="K218" i="17"/>
  <c r="L218" i="17"/>
  <c r="J219" i="17"/>
  <c r="K219" i="17"/>
  <c r="L219" i="17"/>
  <c r="J220" i="17"/>
  <c r="K220" i="17"/>
  <c r="L220" i="17"/>
  <c r="J221" i="17"/>
  <c r="K221" i="17"/>
  <c r="L221" i="17"/>
  <c r="J222" i="17"/>
  <c r="K222" i="17"/>
  <c r="L222" i="17"/>
  <c r="J223" i="17"/>
  <c r="K223" i="17"/>
  <c r="L223" i="17"/>
  <c r="J224" i="17"/>
  <c r="K224" i="17"/>
  <c r="L224" i="17"/>
  <c r="J225" i="17"/>
  <c r="K225" i="17"/>
  <c r="L225" i="17"/>
  <c r="J226" i="17"/>
  <c r="K226" i="17"/>
  <c r="L226" i="17"/>
  <c r="J227" i="17"/>
  <c r="K227" i="17"/>
  <c r="L227" i="17"/>
  <c r="J228" i="17"/>
  <c r="K228" i="17"/>
  <c r="L228" i="17"/>
  <c r="J229" i="17"/>
  <c r="K229" i="17"/>
  <c r="L229" i="17"/>
  <c r="J230" i="17"/>
  <c r="K230" i="17"/>
  <c r="L230" i="17"/>
  <c r="J231" i="17"/>
  <c r="K231" i="17"/>
  <c r="L231" i="17"/>
  <c r="J232" i="17"/>
  <c r="K232" i="17"/>
  <c r="L232" i="17"/>
  <c r="J233" i="17"/>
  <c r="K233" i="17"/>
  <c r="L233" i="17"/>
  <c r="J234" i="17"/>
  <c r="K234" i="17"/>
  <c r="L234" i="17"/>
  <c r="J235" i="17"/>
  <c r="K235" i="17"/>
  <c r="L235" i="17"/>
  <c r="J236" i="17"/>
  <c r="K236" i="17"/>
  <c r="L236" i="17"/>
  <c r="J237" i="17"/>
  <c r="K237" i="17"/>
  <c r="L237" i="17"/>
  <c r="J238" i="17"/>
  <c r="K238" i="17"/>
  <c r="L238" i="17"/>
  <c r="J239" i="17"/>
  <c r="K239" i="17"/>
  <c r="L239" i="17"/>
  <c r="J240" i="17"/>
  <c r="K240" i="17"/>
  <c r="L240" i="17"/>
  <c r="J241" i="17"/>
  <c r="K241" i="17"/>
  <c r="L241" i="17"/>
  <c r="J242" i="17"/>
  <c r="K242" i="17"/>
  <c r="L242" i="17"/>
  <c r="J243" i="17"/>
  <c r="K243" i="17"/>
  <c r="L243" i="17"/>
  <c r="J244" i="17"/>
  <c r="K244" i="17"/>
  <c r="L244" i="17"/>
  <c r="J245" i="17"/>
  <c r="K245" i="17"/>
  <c r="L245" i="17"/>
  <c r="J246" i="17"/>
  <c r="K246" i="17"/>
  <c r="L246" i="17"/>
  <c r="J247" i="17"/>
  <c r="K247" i="17"/>
  <c r="L247" i="17"/>
  <c r="J248" i="17"/>
  <c r="K248" i="17"/>
  <c r="L248" i="17"/>
  <c r="J249" i="17"/>
  <c r="K249" i="17"/>
  <c r="L249" i="17"/>
  <c r="J250" i="17"/>
  <c r="K250" i="17"/>
  <c r="L250" i="17"/>
  <c r="J251" i="17"/>
  <c r="K251" i="17"/>
  <c r="L251" i="17"/>
  <c r="J252" i="17"/>
  <c r="K252" i="17"/>
  <c r="L252" i="17"/>
  <c r="J253" i="17"/>
  <c r="K253" i="17"/>
  <c r="L253" i="17"/>
  <c r="J254" i="17"/>
  <c r="K254" i="17"/>
  <c r="L254" i="17"/>
  <c r="J255" i="17"/>
  <c r="K255" i="17"/>
  <c r="L255" i="17"/>
  <c r="J256" i="17"/>
  <c r="K256" i="17"/>
  <c r="L256" i="17"/>
  <c r="J257" i="17"/>
  <c r="K257" i="17"/>
  <c r="L257" i="17"/>
  <c r="J258" i="17"/>
  <c r="K258" i="17"/>
  <c r="L258" i="17"/>
  <c r="J259" i="17"/>
  <c r="K259" i="17"/>
  <c r="L259" i="17"/>
  <c r="J260" i="17"/>
  <c r="K260" i="17"/>
  <c r="L260" i="17"/>
  <c r="J261" i="17"/>
  <c r="K261" i="17"/>
  <c r="L261" i="17"/>
  <c r="J262" i="17"/>
  <c r="K262" i="17"/>
  <c r="L262" i="17"/>
  <c r="J263" i="17"/>
  <c r="K263" i="17"/>
  <c r="L263" i="17"/>
  <c r="J264" i="17"/>
  <c r="K264" i="17"/>
  <c r="L264" i="17"/>
  <c r="J265" i="17"/>
  <c r="K265" i="17"/>
  <c r="L265" i="17"/>
  <c r="J266" i="17"/>
  <c r="K266" i="17"/>
  <c r="L266" i="17"/>
  <c r="J267" i="17"/>
  <c r="K267" i="17"/>
  <c r="L267" i="17"/>
  <c r="J268" i="17"/>
  <c r="K268" i="17"/>
  <c r="L268" i="17"/>
  <c r="J269" i="17"/>
  <c r="K269" i="17"/>
  <c r="L269" i="17"/>
  <c r="J270" i="17"/>
  <c r="K270" i="17"/>
  <c r="L270" i="17"/>
  <c r="J271" i="17"/>
  <c r="K271" i="17"/>
  <c r="L271" i="17"/>
  <c r="J272" i="17"/>
  <c r="K272" i="17"/>
  <c r="L272" i="17"/>
  <c r="J273" i="17"/>
  <c r="K273" i="17"/>
  <c r="L273" i="17"/>
  <c r="J274" i="17"/>
  <c r="K274" i="17"/>
  <c r="L274" i="17"/>
  <c r="J275" i="17"/>
  <c r="K275" i="17"/>
  <c r="L275" i="17"/>
  <c r="J276" i="17"/>
  <c r="K276" i="17"/>
  <c r="L276" i="17"/>
  <c r="J277" i="17"/>
  <c r="K277" i="17"/>
  <c r="L277" i="17"/>
  <c r="J278" i="17"/>
  <c r="K278" i="17"/>
  <c r="L278" i="17"/>
  <c r="J279" i="17"/>
  <c r="K279" i="17"/>
  <c r="L279" i="17"/>
  <c r="J280" i="17"/>
  <c r="K280" i="17"/>
  <c r="L280" i="17"/>
  <c r="J281" i="17"/>
  <c r="K281" i="17"/>
  <c r="L281" i="17"/>
  <c r="J282" i="17"/>
  <c r="K282" i="17"/>
  <c r="L282" i="17"/>
  <c r="J283" i="17"/>
  <c r="K283" i="17"/>
  <c r="L283" i="17"/>
  <c r="J284" i="17"/>
  <c r="K284" i="17"/>
  <c r="L284" i="17"/>
  <c r="J285" i="17"/>
  <c r="K285" i="17"/>
  <c r="L285" i="17"/>
  <c r="J286" i="17"/>
  <c r="K286" i="17"/>
  <c r="L286" i="17"/>
  <c r="J287" i="17"/>
  <c r="K287" i="17"/>
  <c r="L287" i="17"/>
  <c r="J288" i="17"/>
  <c r="K288" i="17"/>
  <c r="L288" i="17"/>
  <c r="J289" i="17"/>
  <c r="K289" i="17"/>
  <c r="L289" i="17"/>
  <c r="J290" i="17"/>
  <c r="K290" i="17"/>
  <c r="L290" i="17"/>
  <c r="J291" i="17"/>
  <c r="K291" i="17"/>
  <c r="L291" i="17"/>
  <c r="J292" i="17"/>
  <c r="K292" i="17"/>
  <c r="L292" i="17"/>
  <c r="J293" i="17"/>
  <c r="K293" i="17"/>
  <c r="L293" i="17"/>
  <c r="J294" i="17"/>
  <c r="K294" i="17"/>
  <c r="L294" i="17"/>
  <c r="J295" i="17"/>
  <c r="K295" i="17"/>
  <c r="L295" i="17"/>
  <c r="J296" i="17"/>
  <c r="K296" i="17"/>
  <c r="L296" i="17"/>
  <c r="J297" i="17"/>
  <c r="K297" i="17"/>
  <c r="L297" i="17"/>
  <c r="J298" i="17"/>
  <c r="K298" i="17"/>
  <c r="L298" i="17"/>
  <c r="J299" i="17"/>
  <c r="K299" i="17"/>
  <c r="L299" i="17"/>
  <c r="J300" i="17"/>
  <c r="K300" i="17"/>
  <c r="L300" i="17"/>
  <c r="J301" i="17"/>
  <c r="K301" i="17"/>
  <c r="L301" i="17"/>
  <c r="J302" i="17"/>
  <c r="K302" i="17"/>
  <c r="L302" i="17"/>
  <c r="J303" i="17"/>
  <c r="K303" i="17"/>
  <c r="L303" i="17"/>
  <c r="J304" i="17"/>
  <c r="K304" i="17"/>
  <c r="L304" i="17"/>
  <c r="J305" i="17"/>
  <c r="K305" i="17"/>
  <c r="L305" i="17"/>
  <c r="J306" i="17"/>
  <c r="K306" i="17"/>
  <c r="L306" i="17"/>
  <c r="J307" i="17"/>
  <c r="K307" i="17"/>
  <c r="L307" i="17"/>
  <c r="J308" i="17"/>
  <c r="K308" i="17"/>
  <c r="L308" i="17"/>
  <c r="J309" i="17"/>
  <c r="K309" i="17"/>
  <c r="L309" i="17"/>
  <c r="J310" i="17"/>
  <c r="K310" i="17"/>
  <c r="L310" i="17"/>
  <c r="J311" i="17"/>
  <c r="K311" i="17"/>
  <c r="L311" i="17"/>
  <c r="J312" i="17"/>
  <c r="K312" i="17"/>
  <c r="L312" i="17"/>
  <c r="J313" i="17"/>
  <c r="K313" i="17"/>
  <c r="L313" i="17"/>
  <c r="J314" i="17"/>
  <c r="K314" i="17"/>
  <c r="L314" i="17"/>
  <c r="J315" i="17"/>
  <c r="K315" i="17"/>
  <c r="L315" i="17"/>
  <c r="J316" i="17"/>
  <c r="K316" i="17"/>
  <c r="L316" i="17"/>
  <c r="J317" i="17"/>
  <c r="K317" i="17"/>
  <c r="L317" i="17"/>
  <c r="J318" i="17"/>
  <c r="K318" i="17"/>
  <c r="L318" i="17"/>
  <c r="J319" i="17"/>
  <c r="K319" i="17"/>
  <c r="L319" i="17"/>
  <c r="J320" i="17"/>
  <c r="K320" i="17"/>
  <c r="L320" i="17"/>
  <c r="J321" i="17"/>
  <c r="K321" i="17"/>
  <c r="L321" i="17"/>
  <c r="J322" i="17"/>
  <c r="K322" i="17"/>
  <c r="L322" i="17"/>
  <c r="J323" i="17"/>
  <c r="K323" i="17"/>
  <c r="L323" i="17"/>
  <c r="J324" i="17"/>
  <c r="K324" i="17"/>
  <c r="L324" i="17"/>
  <c r="J325" i="17"/>
  <c r="K325" i="17"/>
  <c r="L325" i="17"/>
  <c r="J326" i="17"/>
  <c r="K326" i="17"/>
  <c r="L326" i="17"/>
  <c r="J327" i="17"/>
  <c r="K327" i="17"/>
  <c r="L327" i="17"/>
  <c r="J328" i="17"/>
  <c r="K328" i="17"/>
  <c r="L328" i="17"/>
  <c r="J329" i="17"/>
  <c r="K329" i="17"/>
  <c r="L329" i="17"/>
  <c r="J330" i="17"/>
  <c r="K330" i="17"/>
  <c r="L330" i="17"/>
  <c r="J331" i="17"/>
  <c r="K331" i="17"/>
  <c r="L331" i="17"/>
  <c r="J332" i="17"/>
  <c r="K332" i="17"/>
  <c r="L332" i="17"/>
  <c r="J333" i="17"/>
  <c r="K333" i="17"/>
  <c r="L333" i="17"/>
  <c r="J334" i="17"/>
  <c r="K334" i="17"/>
  <c r="L334" i="17"/>
  <c r="J335" i="17"/>
  <c r="K335" i="17"/>
  <c r="L335" i="17"/>
  <c r="J336" i="17"/>
  <c r="K336" i="17"/>
  <c r="L336" i="17"/>
  <c r="J337" i="17"/>
  <c r="K337" i="17"/>
  <c r="L337" i="17"/>
  <c r="J338" i="17"/>
  <c r="K338" i="17"/>
  <c r="L338" i="17"/>
  <c r="J339" i="17"/>
  <c r="K339" i="17"/>
  <c r="L339" i="17"/>
  <c r="J340" i="17"/>
  <c r="K340" i="17"/>
  <c r="L340" i="17"/>
  <c r="J341" i="17"/>
  <c r="K341" i="17"/>
  <c r="L341" i="17"/>
  <c r="J342" i="17"/>
  <c r="K342" i="17"/>
  <c r="L342" i="17"/>
  <c r="J343" i="17"/>
  <c r="K343" i="17"/>
  <c r="L343" i="17"/>
  <c r="J344" i="17"/>
  <c r="K344" i="17"/>
  <c r="L344" i="17"/>
  <c r="J345" i="17"/>
  <c r="K345" i="17"/>
  <c r="L345" i="17"/>
  <c r="J346" i="17"/>
  <c r="K346" i="17"/>
  <c r="L346" i="17"/>
  <c r="J347" i="17"/>
  <c r="K347" i="17"/>
  <c r="L347" i="17"/>
  <c r="J348" i="17"/>
  <c r="K348" i="17"/>
  <c r="L348" i="17"/>
  <c r="J349" i="17"/>
  <c r="K349" i="17"/>
  <c r="L349" i="17"/>
  <c r="J350" i="17"/>
  <c r="K350" i="17"/>
  <c r="L350" i="17"/>
  <c r="J351" i="17"/>
  <c r="K351" i="17"/>
  <c r="L351" i="17"/>
  <c r="J352" i="17"/>
  <c r="K352" i="17"/>
  <c r="L352" i="17"/>
  <c r="J353" i="17"/>
  <c r="K353" i="17"/>
  <c r="L353" i="17"/>
  <c r="J354" i="17"/>
  <c r="K354" i="17"/>
  <c r="L354" i="17"/>
  <c r="J355" i="17"/>
  <c r="K355" i="17"/>
  <c r="L355" i="17"/>
  <c r="J356" i="17"/>
  <c r="K356" i="17"/>
  <c r="L356" i="17"/>
  <c r="J357" i="17"/>
  <c r="K357" i="17"/>
  <c r="L357" i="17"/>
  <c r="J358" i="17"/>
  <c r="K358" i="17"/>
  <c r="L358" i="17"/>
  <c r="J359" i="17"/>
  <c r="K359" i="17"/>
  <c r="L359" i="17"/>
  <c r="J360" i="17"/>
  <c r="K360" i="17"/>
  <c r="L360" i="17"/>
  <c r="J361" i="17"/>
  <c r="K361" i="17"/>
  <c r="L361" i="17"/>
  <c r="J362" i="17"/>
  <c r="K362" i="17"/>
  <c r="L362" i="17"/>
  <c r="J363" i="17"/>
  <c r="K363" i="17"/>
  <c r="L363" i="17"/>
  <c r="J364" i="17"/>
  <c r="K364" i="17"/>
  <c r="L364" i="17"/>
  <c r="J365" i="17"/>
  <c r="K365" i="17"/>
  <c r="L365" i="17"/>
  <c r="J366" i="17"/>
  <c r="K366" i="17"/>
  <c r="L366" i="17"/>
  <c r="J367" i="17"/>
  <c r="K367" i="17"/>
  <c r="L367" i="17"/>
  <c r="J368" i="17"/>
  <c r="K368" i="17"/>
  <c r="L368" i="17"/>
  <c r="J369" i="17"/>
  <c r="K369" i="17"/>
  <c r="L369" i="17"/>
  <c r="J370" i="17"/>
  <c r="K370" i="17"/>
  <c r="L370" i="17"/>
  <c r="J371" i="17"/>
  <c r="K371" i="17"/>
  <c r="L371" i="17"/>
  <c r="J372" i="17"/>
  <c r="K372" i="17"/>
  <c r="L372" i="17"/>
  <c r="J373" i="17"/>
  <c r="K373" i="17"/>
  <c r="L373" i="17"/>
  <c r="J374" i="17"/>
  <c r="K374" i="17"/>
  <c r="L374" i="17"/>
  <c r="J375" i="17"/>
  <c r="K375" i="17"/>
  <c r="L375" i="17"/>
  <c r="J376" i="17"/>
  <c r="K376" i="17"/>
  <c r="L376" i="17"/>
  <c r="J377" i="17"/>
  <c r="K377" i="17"/>
  <c r="L377" i="17"/>
  <c r="J378" i="17"/>
  <c r="K378" i="17"/>
  <c r="L378" i="17"/>
  <c r="J379" i="17"/>
  <c r="K379" i="17"/>
  <c r="L379" i="17"/>
  <c r="J380" i="17"/>
  <c r="K380" i="17"/>
  <c r="L380" i="17"/>
  <c r="J381" i="17"/>
  <c r="K381" i="17"/>
  <c r="L381" i="17"/>
  <c r="J382" i="17"/>
  <c r="K382" i="17"/>
  <c r="L382" i="17"/>
  <c r="J383" i="17"/>
  <c r="K383" i="17"/>
  <c r="L383" i="17"/>
  <c r="J384" i="17"/>
  <c r="K384" i="17"/>
  <c r="L384" i="17"/>
  <c r="J385" i="17"/>
  <c r="K385" i="17"/>
  <c r="L385" i="17"/>
  <c r="J386" i="17"/>
  <c r="K386" i="17"/>
  <c r="L386" i="17"/>
  <c r="J387" i="17"/>
  <c r="K387" i="17"/>
  <c r="L387" i="17"/>
  <c r="J388" i="17"/>
  <c r="K388" i="17"/>
  <c r="L388" i="17"/>
  <c r="J389" i="17"/>
  <c r="K389" i="17"/>
  <c r="L389" i="17"/>
  <c r="J390" i="17"/>
  <c r="K390" i="17"/>
  <c r="L390" i="17"/>
  <c r="J391" i="17"/>
  <c r="K391" i="17"/>
  <c r="L391" i="17"/>
  <c r="J392" i="17"/>
  <c r="K392" i="17"/>
  <c r="L392" i="17"/>
  <c r="J393" i="17"/>
  <c r="K393" i="17"/>
  <c r="L393" i="17"/>
  <c r="J394" i="17"/>
  <c r="K394" i="17"/>
  <c r="L394" i="17"/>
  <c r="J395" i="17"/>
  <c r="K395" i="17"/>
  <c r="L395" i="17"/>
  <c r="J396" i="17"/>
  <c r="K396" i="17"/>
  <c r="L396" i="17"/>
  <c r="J397" i="17"/>
  <c r="K397" i="17"/>
  <c r="L397" i="17"/>
  <c r="J398" i="17"/>
  <c r="K398" i="17"/>
  <c r="L398" i="17"/>
  <c r="J399" i="17"/>
  <c r="K399" i="17"/>
  <c r="L399" i="17"/>
  <c r="J400" i="17"/>
  <c r="K400" i="17"/>
  <c r="L400" i="17"/>
  <c r="J401" i="17"/>
  <c r="K401" i="17"/>
  <c r="L401" i="17"/>
  <c r="J402" i="17"/>
  <c r="K402" i="17"/>
  <c r="L402" i="17"/>
  <c r="J403" i="17"/>
  <c r="K403" i="17"/>
  <c r="L403" i="17"/>
  <c r="J404" i="17"/>
  <c r="K404" i="17"/>
  <c r="L404" i="17"/>
  <c r="J405" i="17"/>
  <c r="K405" i="17"/>
  <c r="L405" i="17"/>
  <c r="J406" i="17"/>
  <c r="K406" i="17"/>
  <c r="L406" i="17"/>
  <c r="J407" i="17"/>
  <c r="K407" i="17"/>
  <c r="L407" i="17"/>
  <c r="J408" i="17"/>
  <c r="K408" i="17"/>
  <c r="L408" i="17"/>
  <c r="J409" i="17"/>
  <c r="K409" i="17"/>
  <c r="L409" i="17"/>
  <c r="J410" i="17"/>
  <c r="K410" i="17"/>
  <c r="L410" i="17"/>
  <c r="J411" i="17"/>
  <c r="K411" i="17"/>
  <c r="L411" i="17"/>
  <c r="J412" i="17"/>
  <c r="K412" i="17"/>
  <c r="L412" i="17"/>
  <c r="J413" i="17"/>
  <c r="K413" i="17"/>
  <c r="L413" i="17"/>
  <c r="J414" i="17"/>
  <c r="K414" i="17"/>
  <c r="L414" i="17"/>
  <c r="J415" i="17"/>
  <c r="K415" i="17"/>
  <c r="L415" i="17"/>
  <c r="J416" i="17"/>
  <c r="K416" i="17"/>
  <c r="L416" i="17"/>
  <c r="J417" i="17"/>
  <c r="K417" i="17"/>
  <c r="L417" i="17"/>
  <c r="J418" i="17"/>
  <c r="K418" i="17"/>
  <c r="L418" i="17"/>
  <c r="J419" i="17"/>
  <c r="K419" i="17"/>
  <c r="L419" i="17"/>
  <c r="J420" i="17"/>
  <c r="K420" i="17"/>
  <c r="L420" i="17"/>
  <c r="J421" i="17"/>
  <c r="K421" i="17"/>
  <c r="L421" i="17"/>
  <c r="J422" i="17"/>
  <c r="K422" i="17"/>
  <c r="L422" i="17"/>
  <c r="J423" i="17"/>
  <c r="K423" i="17"/>
  <c r="L423" i="17"/>
  <c r="J424" i="17"/>
  <c r="K424" i="17"/>
  <c r="L424" i="17"/>
  <c r="J425" i="17"/>
  <c r="K425" i="17"/>
  <c r="L425" i="17"/>
  <c r="J426" i="17"/>
  <c r="K426" i="17"/>
  <c r="L426" i="17"/>
  <c r="J427" i="17"/>
  <c r="K427" i="17"/>
  <c r="L427" i="17"/>
  <c r="J428" i="17"/>
  <c r="K428" i="17"/>
  <c r="L428" i="17"/>
  <c r="J429" i="17"/>
  <c r="K429" i="17"/>
  <c r="L429" i="17"/>
  <c r="J430" i="17"/>
  <c r="K430" i="17"/>
  <c r="L430" i="17"/>
  <c r="J431" i="17"/>
  <c r="K431" i="17"/>
  <c r="L431" i="17"/>
  <c r="J432" i="17"/>
  <c r="K432" i="17"/>
  <c r="L432" i="17"/>
  <c r="J433" i="17"/>
  <c r="K433" i="17"/>
  <c r="L433" i="17"/>
  <c r="J434" i="17"/>
  <c r="K434" i="17"/>
  <c r="L434" i="17"/>
  <c r="J435" i="17"/>
  <c r="K435" i="17"/>
  <c r="L435" i="17"/>
  <c r="J436" i="17"/>
  <c r="K436" i="17"/>
  <c r="L436" i="17"/>
  <c r="J437" i="17"/>
  <c r="K437" i="17"/>
  <c r="L437" i="17"/>
  <c r="J438" i="17"/>
  <c r="K438" i="17"/>
  <c r="L438" i="17"/>
  <c r="J439" i="17"/>
  <c r="K439" i="17"/>
  <c r="L439" i="17"/>
  <c r="J440" i="17"/>
  <c r="K440" i="17"/>
  <c r="L440" i="17"/>
  <c r="J441" i="17"/>
  <c r="K441" i="17"/>
  <c r="L441" i="17"/>
  <c r="J442" i="17"/>
  <c r="K442" i="17"/>
  <c r="L442" i="17"/>
  <c r="J443" i="17"/>
  <c r="K443" i="17"/>
  <c r="L443" i="17"/>
  <c r="J444" i="17"/>
  <c r="K444" i="17"/>
  <c r="L444" i="17"/>
  <c r="J445" i="17"/>
  <c r="K445" i="17"/>
  <c r="L445" i="17"/>
  <c r="J446" i="17"/>
  <c r="K446" i="17"/>
  <c r="L446" i="17"/>
  <c r="J447" i="17"/>
  <c r="K447" i="17"/>
  <c r="L447" i="17"/>
  <c r="J448" i="17"/>
  <c r="K448" i="17"/>
  <c r="L448" i="17"/>
  <c r="J449" i="17"/>
  <c r="K449" i="17"/>
  <c r="L449" i="17"/>
  <c r="J450" i="17"/>
  <c r="K450" i="17"/>
  <c r="L450" i="17"/>
  <c r="J451" i="17"/>
  <c r="K451" i="17"/>
  <c r="L451" i="17"/>
  <c r="J452" i="17"/>
  <c r="K452" i="17"/>
  <c r="L452" i="17"/>
  <c r="J453" i="17"/>
  <c r="K453" i="17"/>
  <c r="L453" i="17"/>
  <c r="J454" i="17"/>
  <c r="K454" i="17"/>
  <c r="L454" i="17"/>
  <c r="J455" i="17"/>
  <c r="K455" i="17"/>
  <c r="L455" i="17"/>
  <c r="J456" i="17"/>
  <c r="K456" i="17"/>
  <c r="L456" i="17"/>
  <c r="J457" i="17"/>
  <c r="K457" i="17"/>
  <c r="L457" i="17"/>
  <c r="J458" i="17"/>
  <c r="K458" i="17"/>
  <c r="L458" i="17"/>
  <c r="J459" i="17"/>
  <c r="K459" i="17"/>
  <c r="L459" i="17"/>
  <c r="J460" i="17"/>
  <c r="K460" i="17"/>
  <c r="L460" i="17"/>
  <c r="J461" i="17"/>
  <c r="K461" i="17"/>
  <c r="L461" i="17"/>
  <c r="J462" i="17"/>
  <c r="K462" i="17"/>
  <c r="L462" i="17"/>
  <c r="J463" i="17"/>
  <c r="K463" i="17"/>
  <c r="L463" i="17"/>
  <c r="J464" i="17"/>
  <c r="K464" i="17"/>
  <c r="L464" i="17"/>
  <c r="J465" i="17"/>
  <c r="K465" i="17"/>
  <c r="L465" i="17"/>
  <c r="J466" i="17"/>
  <c r="K466" i="17"/>
  <c r="L466" i="17"/>
  <c r="J467" i="17"/>
  <c r="K467" i="17"/>
  <c r="L467" i="17"/>
  <c r="J468" i="17"/>
  <c r="K468" i="17"/>
  <c r="L468" i="17"/>
  <c r="J469" i="17"/>
  <c r="K469" i="17"/>
  <c r="L469" i="17"/>
  <c r="J470" i="17"/>
  <c r="K470" i="17"/>
  <c r="L470" i="17"/>
  <c r="J471" i="17"/>
  <c r="K471" i="17"/>
  <c r="L471" i="17"/>
  <c r="J472" i="17"/>
  <c r="K472" i="17"/>
  <c r="L472" i="17"/>
  <c r="J473" i="17"/>
  <c r="K473" i="17"/>
  <c r="L473" i="17"/>
  <c r="J474" i="17"/>
  <c r="K474" i="17"/>
  <c r="L474" i="17"/>
  <c r="J475" i="17"/>
  <c r="K475" i="17"/>
  <c r="L475" i="17"/>
  <c r="J476" i="17"/>
  <c r="K476" i="17"/>
  <c r="L476" i="17"/>
  <c r="J477" i="17"/>
  <c r="K477" i="17"/>
  <c r="L477" i="17"/>
  <c r="J478" i="17"/>
  <c r="K478" i="17"/>
  <c r="L478" i="17"/>
  <c r="J479" i="17"/>
  <c r="K479" i="17"/>
  <c r="L479" i="17"/>
  <c r="J480" i="17"/>
  <c r="K480" i="17"/>
  <c r="L480" i="17"/>
  <c r="J481" i="17"/>
  <c r="K481" i="17"/>
  <c r="L481" i="17"/>
  <c r="J482" i="17"/>
  <c r="K482" i="17"/>
  <c r="L482" i="17"/>
  <c r="J483" i="17"/>
  <c r="K483" i="17"/>
  <c r="L483" i="17"/>
  <c r="J484" i="17"/>
  <c r="K484" i="17"/>
  <c r="L484" i="17"/>
  <c r="J485" i="17"/>
  <c r="K485" i="17"/>
  <c r="L485" i="17"/>
  <c r="J486" i="17"/>
  <c r="K486" i="17"/>
  <c r="L486" i="17"/>
  <c r="J487" i="17"/>
  <c r="K487" i="17"/>
  <c r="L487" i="17"/>
  <c r="J488" i="17"/>
  <c r="K488" i="17"/>
  <c r="L488" i="17"/>
  <c r="J489" i="17"/>
  <c r="K489" i="17"/>
  <c r="L489" i="17"/>
  <c r="J490" i="17"/>
  <c r="K490" i="17"/>
  <c r="L490" i="17"/>
  <c r="J491" i="17"/>
  <c r="K491" i="17"/>
  <c r="L491" i="17"/>
  <c r="J492" i="17"/>
  <c r="K492" i="17"/>
  <c r="L492" i="17"/>
  <c r="J493" i="17"/>
  <c r="K493" i="17"/>
  <c r="L493" i="17"/>
  <c r="J494" i="17"/>
  <c r="K494" i="17"/>
  <c r="L494" i="17"/>
  <c r="J495" i="17"/>
  <c r="K495" i="17"/>
  <c r="L495" i="17"/>
  <c r="J496" i="17"/>
  <c r="K496" i="17"/>
  <c r="L496" i="17"/>
  <c r="J497" i="17"/>
  <c r="K497" i="17"/>
  <c r="L497" i="17"/>
  <c r="J498" i="17"/>
  <c r="K498" i="17"/>
  <c r="L498" i="17"/>
  <c r="J499" i="17"/>
  <c r="K499" i="17"/>
  <c r="L499" i="17"/>
  <c r="J500" i="17"/>
  <c r="K500" i="17"/>
  <c r="L500" i="17"/>
  <c r="J501" i="17"/>
  <c r="K501" i="17"/>
  <c r="L501" i="17"/>
  <c r="J502" i="17"/>
  <c r="K502" i="17"/>
  <c r="L502" i="17"/>
  <c r="J503" i="17"/>
  <c r="K503" i="17"/>
  <c r="L503" i="17"/>
  <c r="J504" i="17"/>
  <c r="K504" i="17"/>
  <c r="L504" i="17"/>
  <c r="J505" i="17"/>
  <c r="K505" i="17"/>
  <c r="L505" i="17"/>
  <c r="J506" i="17"/>
  <c r="K506" i="17"/>
  <c r="L506" i="17"/>
  <c r="J507" i="17"/>
  <c r="K507" i="17"/>
  <c r="L507" i="17"/>
  <c r="J508" i="17"/>
  <c r="K508" i="17"/>
  <c r="L508" i="17"/>
  <c r="J509" i="17"/>
  <c r="K509" i="17"/>
  <c r="L509" i="17"/>
  <c r="J510" i="17"/>
  <c r="K510" i="17"/>
  <c r="L510" i="17"/>
  <c r="J511" i="17"/>
  <c r="K511" i="17"/>
  <c r="L511" i="17"/>
  <c r="J512" i="17"/>
  <c r="K512" i="17"/>
  <c r="L512" i="17"/>
  <c r="J513" i="17"/>
  <c r="K513" i="17"/>
  <c r="L513" i="17"/>
  <c r="J514" i="17"/>
  <c r="K514" i="17"/>
  <c r="L514" i="17"/>
  <c r="J515" i="17"/>
  <c r="K515" i="17"/>
  <c r="L515" i="17"/>
  <c r="J516" i="17"/>
  <c r="K516" i="17"/>
  <c r="L516" i="17"/>
  <c r="J517" i="17"/>
  <c r="K517" i="17"/>
  <c r="L517" i="17"/>
  <c r="J518" i="17"/>
  <c r="K518" i="17"/>
  <c r="L518" i="17"/>
  <c r="J519" i="17"/>
  <c r="K519" i="17"/>
  <c r="L519" i="17"/>
  <c r="J520" i="17"/>
  <c r="K520" i="17"/>
  <c r="L520" i="17"/>
  <c r="J521" i="17"/>
  <c r="K521" i="17"/>
  <c r="L521" i="17"/>
  <c r="J522" i="17"/>
  <c r="K522" i="17"/>
  <c r="L522" i="17"/>
  <c r="J523" i="17"/>
  <c r="K523" i="17"/>
  <c r="L523" i="17"/>
  <c r="J524" i="17"/>
  <c r="K524" i="17"/>
  <c r="L524" i="17"/>
  <c r="J525" i="17"/>
  <c r="K525" i="17"/>
  <c r="L525" i="17"/>
  <c r="J526" i="17"/>
  <c r="K526" i="17"/>
  <c r="L526" i="17"/>
  <c r="J527" i="17"/>
  <c r="K527" i="17"/>
  <c r="L527" i="17"/>
  <c r="J528" i="17"/>
  <c r="K528" i="17"/>
  <c r="L528" i="17"/>
  <c r="J529" i="17"/>
  <c r="K529" i="17"/>
  <c r="L529" i="17"/>
  <c r="J530" i="17"/>
  <c r="K530" i="17"/>
  <c r="L530" i="17"/>
  <c r="J531" i="17"/>
  <c r="K531" i="17"/>
  <c r="L531" i="17"/>
  <c r="J532" i="17"/>
  <c r="K532" i="17"/>
  <c r="L532" i="17"/>
  <c r="J533" i="17"/>
  <c r="K533" i="17"/>
  <c r="L533" i="17"/>
  <c r="J534" i="17"/>
  <c r="K534" i="17"/>
  <c r="L534" i="17"/>
  <c r="J535" i="17"/>
  <c r="K535" i="17"/>
  <c r="L535" i="17"/>
  <c r="J536" i="17"/>
  <c r="K536" i="17"/>
  <c r="L536" i="17"/>
  <c r="J537" i="17"/>
  <c r="K537" i="17"/>
  <c r="L537" i="17"/>
  <c r="J538" i="17"/>
  <c r="K538" i="17"/>
  <c r="L538" i="17"/>
  <c r="J539" i="17"/>
  <c r="K539" i="17"/>
  <c r="L539" i="17"/>
  <c r="J540" i="17"/>
  <c r="K540" i="17"/>
  <c r="L540" i="17"/>
  <c r="J541" i="17"/>
  <c r="K541" i="17"/>
  <c r="L541" i="17"/>
  <c r="J542" i="17"/>
  <c r="K542" i="17"/>
  <c r="L542" i="17"/>
  <c r="J543" i="17"/>
  <c r="K543" i="17"/>
  <c r="L543" i="17"/>
  <c r="J544" i="17"/>
  <c r="K544" i="17"/>
  <c r="L544" i="17"/>
  <c r="J545" i="17"/>
  <c r="K545" i="17"/>
  <c r="L545" i="17"/>
  <c r="J546" i="17"/>
  <c r="K546" i="17"/>
  <c r="L546" i="17"/>
  <c r="J547" i="17"/>
  <c r="K547" i="17"/>
  <c r="L547" i="17"/>
  <c r="J548" i="17"/>
  <c r="K548" i="17"/>
  <c r="L548" i="17"/>
  <c r="J549" i="17"/>
  <c r="K549" i="17"/>
  <c r="L549" i="17"/>
  <c r="J550" i="17"/>
  <c r="K550" i="17"/>
  <c r="L550" i="17"/>
  <c r="J551" i="17"/>
  <c r="K551" i="17"/>
  <c r="L551" i="17"/>
  <c r="J552" i="17"/>
  <c r="K552" i="17"/>
  <c r="L552" i="17"/>
  <c r="J553" i="17"/>
  <c r="K553" i="17"/>
  <c r="L553" i="17"/>
  <c r="J554" i="17"/>
  <c r="K554" i="17"/>
  <c r="L554" i="17"/>
  <c r="J555" i="17"/>
  <c r="K555" i="17"/>
  <c r="L555" i="17"/>
  <c r="J556" i="17"/>
  <c r="K556" i="17"/>
  <c r="L556" i="17"/>
  <c r="J557" i="17"/>
  <c r="K557" i="17"/>
  <c r="L557" i="17"/>
  <c r="J558" i="17"/>
  <c r="K558" i="17"/>
  <c r="L558" i="17"/>
  <c r="J559" i="17"/>
  <c r="K559" i="17"/>
  <c r="L559" i="17"/>
  <c r="J560" i="17"/>
  <c r="K560" i="17"/>
  <c r="L560" i="17"/>
  <c r="J561" i="17"/>
  <c r="K561" i="17"/>
  <c r="L561" i="17"/>
  <c r="J562" i="17"/>
  <c r="K562" i="17"/>
  <c r="L562" i="17"/>
  <c r="J563" i="17"/>
  <c r="K563" i="17"/>
  <c r="L563" i="17"/>
  <c r="J564" i="17"/>
  <c r="K564" i="17"/>
  <c r="L564" i="17"/>
  <c r="J565" i="17"/>
  <c r="K565" i="17"/>
  <c r="L565" i="17"/>
  <c r="J566" i="17"/>
  <c r="K566" i="17"/>
  <c r="L566" i="17"/>
  <c r="J567" i="17"/>
  <c r="K567" i="17"/>
  <c r="L567" i="17"/>
  <c r="J568" i="17"/>
  <c r="K568" i="17"/>
  <c r="L568" i="17"/>
  <c r="J569" i="17"/>
  <c r="K569" i="17"/>
  <c r="L569" i="17"/>
  <c r="J570" i="17"/>
  <c r="K570" i="17"/>
  <c r="L570" i="17"/>
  <c r="J571" i="17"/>
  <c r="K571" i="17"/>
  <c r="L571" i="17"/>
  <c r="J572" i="17"/>
  <c r="K572" i="17"/>
  <c r="L572" i="17"/>
  <c r="J573" i="17"/>
  <c r="K573" i="17"/>
  <c r="L573" i="17"/>
  <c r="J574" i="17"/>
  <c r="K574" i="17"/>
  <c r="L574" i="17"/>
  <c r="J575" i="17"/>
  <c r="K575" i="17"/>
  <c r="L575" i="17"/>
  <c r="J576" i="17"/>
  <c r="K576" i="17"/>
  <c r="L576" i="17"/>
  <c r="J577" i="17"/>
  <c r="K577" i="17"/>
  <c r="L577" i="17"/>
  <c r="J578" i="17"/>
  <c r="K578" i="17"/>
  <c r="L578" i="17"/>
  <c r="J579" i="17"/>
  <c r="K579" i="17"/>
  <c r="L579" i="17"/>
  <c r="J580" i="17"/>
  <c r="K580" i="17"/>
  <c r="L580" i="17"/>
  <c r="J581" i="17"/>
  <c r="K581" i="17"/>
  <c r="L581" i="17"/>
  <c r="J582" i="17"/>
  <c r="K582" i="17"/>
  <c r="L582" i="17"/>
  <c r="J583" i="17"/>
  <c r="K583" i="17"/>
  <c r="L583" i="17"/>
  <c r="J584" i="17"/>
  <c r="K584" i="17"/>
  <c r="L584" i="17"/>
  <c r="J585" i="17"/>
  <c r="K585" i="17"/>
  <c r="L585" i="17"/>
  <c r="J586" i="17"/>
  <c r="K586" i="17"/>
  <c r="L586" i="17"/>
  <c r="J587" i="17"/>
  <c r="K587" i="17"/>
  <c r="L587" i="17"/>
  <c r="J588" i="17"/>
  <c r="K588" i="17"/>
  <c r="L588" i="17"/>
  <c r="J589" i="17"/>
  <c r="K589" i="17"/>
  <c r="L589" i="17"/>
  <c r="J590" i="17"/>
  <c r="K590" i="17"/>
  <c r="L590" i="17"/>
  <c r="J591" i="17"/>
  <c r="K591" i="17"/>
  <c r="L591" i="17"/>
  <c r="J592" i="17"/>
  <c r="K592" i="17"/>
  <c r="L592" i="17"/>
  <c r="J593" i="17"/>
  <c r="K593" i="17"/>
  <c r="L593" i="17"/>
  <c r="J594" i="17"/>
  <c r="K594" i="17"/>
  <c r="L594" i="17"/>
  <c r="J595" i="17"/>
  <c r="K595" i="17"/>
  <c r="L595" i="17"/>
  <c r="J596" i="17"/>
  <c r="K596" i="17"/>
  <c r="L596" i="17"/>
  <c r="J597" i="17"/>
  <c r="K597" i="17"/>
  <c r="L597" i="17"/>
  <c r="J598" i="17"/>
  <c r="K598" i="17"/>
  <c r="L598" i="17"/>
  <c r="J599" i="17"/>
  <c r="K599" i="17"/>
  <c r="L599" i="17"/>
  <c r="J600" i="17"/>
  <c r="K600" i="17"/>
  <c r="L600" i="17"/>
  <c r="J601" i="17"/>
  <c r="K601" i="17"/>
  <c r="L601" i="17"/>
  <c r="J602" i="17"/>
  <c r="K602" i="17"/>
  <c r="L602" i="17"/>
  <c r="J603" i="17"/>
  <c r="K603" i="17"/>
  <c r="L603" i="17"/>
  <c r="J604" i="17"/>
  <c r="K604" i="17"/>
  <c r="L604" i="17"/>
  <c r="J605" i="17"/>
  <c r="K605" i="17"/>
  <c r="L605" i="17"/>
  <c r="J606" i="17"/>
  <c r="K606" i="17"/>
  <c r="L606" i="17"/>
  <c r="J607" i="17"/>
  <c r="K607" i="17"/>
  <c r="L607" i="17"/>
  <c r="J608" i="17"/>
  <c r="K608" i="17"/>
  <c r="L608" i="17"/>
  <c r="J609" i="17"/>
  <c r="K609" i="17"/>
  <c r="L609" i="17"/>
  <c r="J610" i="17"/>
  <c r="K610" i="17"/>
  <c r="L610" i="17"/>
  <c r="J611" i="17"/>
  <c r="K611" i="17"/>
  <c r="L611" i="17"/>
  <c r="J612" i="17"/>
  <c r="K612" i="17"/>
  <c r="L612" i="17"/>
  <c r="J613" i="17"/>
  <c r="K613" i="17"/>
  <c r="L613" i="17"/>
  <c r="J614" i="17"/>
  <c r="K614" i="17"/>
  <c r="L614" i="17"/>
  <c r="J615" i="17"/>
  <c r="K615" i="17"/>
  <c r="L615" i="17"/>
  <c r="J616" i="17"/>
  <c r="K616" i="17"/>
  <c r="L616" i="17"/>
  <c r="J617" i="17"/>
  <c r="K617" i="17"/>
  <c r="L617" i="17"/>
  <c r="J618" i="17"/>
  <c r="K618" i="17"/>
  <c r="L618" i="17"/>
  <c r="J619" i="17"/>
  <c r="K619" i="17"/>
  <c r="L619" i="17"/>
  <c r="J620" i="17"/>
  <c r="K620" i="17"/>
  <c r="L620" i="17"/>
  <c r="J621" i="17"/>
  <c r="K621" i="17"/>
  <c r="L621" i="17"/>
  <c r="J622" i="17"/>
  <c r="K622" i="17"/>
  <c r="L622" i="17"/>
  <c r="J623" i="17"/>
  <c r="K623" i="17"/>
  <c r="L623" i="17"/>
  <c r="J624" i="17"/>
  <c r="K624" i="17"/>
  <c r="L624" i="17"/>
  <c r="J625" i="17"/>
  <c r="K625" i="17"/>
  <c r="L625" i="17"/>
  <c r="J626" i="17"/>
  <c r="K626" i="17"/>
  <c r="L626" i="17"/>
  <c r="J627" i="17"/>
  <c r="K627" i="17"/>
  <c r="L627" i="17"/>
  <c r="J628" i="17"/>
  <c r="K628" i="17"/>
  <c r="L628" i="17"/>
  <c r="J629" i="17"/>
  <c r="K629" i="17"/>
  <c r="L629" i="17"/>
  <c r="J630" i="17"/>
  <c r="K630" i="17"/>
  <c r="L630" i="17"/>
  <c r="J631" i="17"/>
  <c r="K631" i="17"/>
  <c r="L631" i="17"/>
  <c r="J632" i="17"/>
  <c r="K632" i="17"/>
  <c r="L632" i="17"/>
  <c r="J633" i="17"/>
  <c r="K633" i="17"/>
  <c r="L633" i="17"/>
  <c r="J634" i="17"/>
  <c r="K634" i="17"/>
  <c r="L634" i="17"/>
  <c r="J635" i="17"/>
  <c r="K635" i="17"/>
  <c r="L635" i="17"/>
  <c r="J636" i="17"/>
  <c r="K636" i="17"/>
  <c r="L636" i="17"/>
  <c r="J637" i="17"/>
  <c r="K637" i="17"/>
  <c r="L637" i="17"/>
  <c r="J638" i="17"/>
  <c r="K638" i="17"/>
  <c r="L638" i="17"/>
  <c r="J639" i="17"/>
  <c r="K639" i="17"/>
  <c r="L639" i="17"/>
  <c r="J640" i="17"/>
  <c r="K640" i="17"/>
  <c r="L640" i="17"/>
  <c r="J641" i="17"/>
  <c r="K641" i="17"/>
  <c r="L641" i="17"/>
  <c r="J642" i="17"/>
  <c r="K642" i="17"/>
  <c r="L642" i="17"/>
  <c r="J643" i="17"/>
  <c r="K643" i="17"/>
  <c r="L643" i="17"/>
  <c r="J644" i="17"/>
  <c r="K644" i="17"/>
  <c r="L644" i="17"/>
  <c r="J645" i="17"/>
  <c r="K645" i="17"/>
  <c r="L645" i="17"/>
  <c r="J646" i="17"/>
  <c r="K646" i="17"/>
  <c r="L646" i="17"/>
  <c r="J647" i="17"/>
  <c r="K647" i="17"/>
  <c r="L647" i="17"/>
  <c r="J648" i="17"/>
  <c r="K648" i="17"/>
  <c r="L648" i="17"/>
  <c r="J649" i="17"/>
  <c r="K649" i="17"/>
  <c r="L649" i="17"/>
  <c r="J650" i="17"/>
  <c r="K650" i="17"/>
  <c r="L650" i="17"/>
  <c r="J651" i="17"/>
  <c r="K651" i="17"/>
  <c r="L651" i="17"/>
  <c r="J652" i="17"/>
  <c r="K652" i="17"/>
  <c r="L652" i="17"/>
  <c r="J653" i="17"/>
  <c r="K653" i="17"/>
  <c r="L653" i="17"/>
  <c r="J654" i="17"/>
  <c r="K654" i="17"/>
  <c r="L654" i="17"/>
  <c r="J655" i="17"/>
  <c r="K655" i="17"/>
  <c r="L655" i="17"/>
  <c r="J656" i="17"/>
  <c r="K656" i="17"/>
  <c r="L656" i="17"/>
  <c r="J657" i="17"/>
  <c r="K657" i="17"/>
  <c r="L657" i="17"/>
  <c r="J658" i="17"/>
  <c r="K658" i="17"/>
  <c r="L658" i="17"/>
  <c r="J659" i="17"/>
  <c r="K659" i="17"/>
  <c r="L659" i="17"/>
  <c r="J660" i="17"/>
  <c r="K660" i="17"/>
  <c r="L660" i="17"/>
  <c r="J661" i="17"/>
  <c r="K661" i="17"/>
  <c r="L661" i="17"/>
  <c r="J662" i="17"/>
  <c r="K662" i="17"/>
  <c r="L662" i="17"/>
  <c r="J663" i="17"/>
  <c r="K663" i="17"/>
  <c r="L663" i="17"/>
  <c r="J664" i="17"/>
  <c r="K664" i="17"/>
  <c r="L664" i="17"/>
  <c r="J665" i="17"/>
  <c r="K665" i="17"/>
  <c r="L665" i="17"/>
  <c r="J666" i="17"/>
  <c r="K666" i="17"/>
  <c r="L666" i="17"/>
  <c r="J667" i="17"/>
  <c r="K667" i="17"/>
  <c r="L667" i="17"/>
  <c r="J668" i="17"/>
  <c r="K668" i="17"/>
  <c r="L668" i="17"/>
  <c r="J669" i="17"/>
  <c r="K669" i="17"/>
  <c r="L669" i="17"/>
  <c r="J670" i="17"/>
  <c r="K670" i="17"/>
  <c r="L670" i="17"/>
  <c r="J671" i="17"/>
  <c r="K671" i="17"/>
  <c r="L671" i="17"/>
  <c r="J672" i="17"/>
  <c r="K672" i="17"/>
  <c r="L672" i="17"/>
  <c r="J673" i="17"/>
  <c r="K673" i="17"/>
  <c r="L673" i="17"/>
  <c r="J674" i="17"/>
  <c r="K674" i="17"/>
  <c r="L674" i="17"/>
  <c r="J675" i="17"/>
  <c r="K675" i="17"/>
  <c r="L675" i="17"/>
  <c r="J676" i="17"/>
  <c r="K676" i="17"/>
  <c r="L676" i="17"/>
  <c r="J677" i="17"/>
  <c r="K677" i="17"/>
  <c r="L677" i="17"/>
  <c r="J678" i="17"/>
  <c r="K678" i="17"/>
  <c r="L678" i="17"/>
  <c r="J679" i="17"/>
  <c r="K679" i="17"/>
  <c r="L679" i="17"/>
  <c r="J680" i="17"/>
  <c r="K680" i="17"/>
  <c r="L680" i="17"/>
  <c r="J681" i="17"/>
  <c r="K681" i="17"/>
  <c r="L681" i="17"/>
  <c r="J682" i="17"/>
  <c r="K682" i="17"/>
  <c r="L682" i="17"/>
  <c r="J683" i="17"/>
  <c r="K683" i="17"/>
  <c r="L683" i="17"/>
  <c r="J684" i="17"/>
  <c r="K684" i="17"/>
  <c r="L684" i="17"/>
  <c r="J685" i="17"/>
  <c r="K685" i="17"/>
  <c r="L685" i="17"/>
  <c r="J686" i="17"/>
  <c r="K686" i="17"/>
  <c r="L686" i="17"/>
  <c r="J687" i="17"/>
  <c r="K687" i="17"/>
  <c r="L687" i="17"/>
  <c r="J688" i="17"/>
  <c r="K688" i="17"/>
  <c r="L688" i="17"/>
  <c r="J689" i="17"/>
  <c r="K689" i="17"/>
  <c r="L689" i="17"/>
  <c r="J690" i="17"/>
  <c r="K690" i="17"/>
  <c r="L690" i="17"/>
  <c r="J691" i="17"/>
  <c r="K691" i="17"/>
  <c r="L691" i="17"/>
  <c r="J692" i="17"/>
  <c r="K692" i="17"/>
  <c r="L692" i="17"/>
  <c r="J693" i="17"/>
  <c r="K693" i="17"/>
  <c r="L693" i="17"/>
  <c r="J694" i="17"/>
  <c r="K694" i="17"/>
  <c r="L694" i="17"/>
  <c r="J695" i="17"/>
  <c r="K695" i="17"/>
  <c r="L695" i="17"/>
  <c r="J696" i="17"/>
  <c r="K696" i="17"/>
  <c r="L696" i="17"/>
  <c r="J697" i="17"/>
  <c r="K697" i="17"/>
  <c r="L697" i="17"/>
  <c r="J698" i="17"/>
  <c r="K698" i="17"/>
  <c r="L698" i="17"/>
  <c r="J699" i="17"/>
  <c r="K699" i="17"/>
  <c r="L699" i="17"/>
  <c r="J700" i="17"/>
  <c r="K700" i="17"/>
  <c r="L700" i="17"/>
  <c r="J701" i="17"/>
  <c r="K701" i="17"/>
  <c r="L701" i="17"/>
  <c r="J702" i="17"/>
  <c r="K702" i="17"/>
  <c r="L702" i="17"/>
  <c r="J703" i="17"/>
  <c r="K703" i="17"/>
  <c r="L703" i="17"/>
  <c r="J704" i="17"/>
  <c r="K704" i="17"/>
  <c r="L704" i="17"/>
  <c r="J705" i="17"/>
  <c r="K705" i="17"/>
  <c r="L705" i="17"/>
  <c r="J706" i="17"/>
  <c r="K706" i="17"/>
  <c r="L706" i="17"/>
  <c r="J707" i="17"/>
  <c r="K707" i="17"/>
  <c r="L707" i="17"/>
  <c r="J708" i="17"/>
  <c r="K708" i="17"/>
  <c r="L708" i="17"/>
  <c r="J709" i="17"/>
  <c r="K709" i="17"/>
  <c r="L709" i="17"/>
  <c r="J710" i="17"/>
  <c r="K710" i="17"/>
  <c r="L710" i="17"/>
  <c r="J711" i="17"/>
  <c r="K711" i="17"/>
  <c r="L711" i="17"/>
  <c r="J712" i="17"/>
  <c r="K712" i="17"/>
  <c r="L712" i="17"/>
  <c r="J713" i="17"/>
  <c r="K713" i="17"/>
  <c r="L713" i="17"/>
  <c r="J714" i="17"/>
  <c r="K714" i="17"/>
  <c r="L714" i="17"/>
  <c r="J715" i="17"/>
  <c r="K715" i="17"/>
  <c r="L715" i="17"/>
  <c r="J716" i="17"/>
  <c r="K716" i="17"/>
  <c r="L716" i="17"/>
  <c r="J717" i="17"/>
  <c r="K717" i="17"/>
  <c r="L717" i="17"/>
  <c r="J718" i="17"/>
  <c r="K718" i="17"/>
  <c r="L718" i="17"/>
  <c r="J719" i="17"/>
  <c r="K719" i="17"/>
  <c r="L719" i="17"/>
  <c r="J720" i="17"/>
  <c r="K720" i="17"/>
  <c r="L720" i="17"/>
  <c r="J721" i="17"/>
  <c r="K721" i="17"/>
  <c r="L721" i="17"/>
  <c r="J722" i="17"/>
  <c r="K722" i="17"/>
  <c r="L722" i="17"/>
  <c r="J723" i="17"/>
  <c r="K723" i="17"/>
  <c r="L723" i="17"/>
  <c r="J724" i="17"/>
  <c r="K724" i="17"/>
  <c r="L724" i="17"/>
  <c r="J725" i="17"/>
  <c r="K725" i="17"/>
  <c r="L725" i="17"/>
  <c r="J726" i="17"/>
  <c r="K726" i="17"/>
  <c r="L726" i="17"/>
  <c r="J727" i="17"/>
  <c r="K727" i="17"/>
  <c r="L727" i="17"/>
  <c r="J728" i="17"/>
  <c r="K728" i="17"/>
  <c r="L728" i="17"/>
  <c r="J729" i="17"/>
  <c r="K729" i="17"/>
  <c r="L729" i="17"/>
  <c r="J730" i="17"/>
  <c r="K730" i="17"/>
  <c r="L730" i="17"/>
  <c r="J731" i="17"/>
  <c r="K731" i="17"/>
  <c r="L731" i="17"/>
  <c r="J732" i="17"/>
  <c r="K732" i="17"/>
  <c r="L732" i="17"/>
  <c r="J733" i="17"/>
  <c r="K733" i="17"/>
  <c r="L733" i="17"/>
  <c r="J734" i="17"/>
  <c r="K734" i="17"/>
  <c r="L734" i="17"/>
  <c r="J735" i="17"/>
  <c r="K735" i="17"/>
  <c r="L735" i="17"/>
  <c r="J736" i="17"/>
  <c r="K736" i="17"/>
  <c r="L736" i="17"/>
  <c r="J737" i="17"/>
  <c r="K737" i="17"/>
  <c r="L737" i="17"/>
  <c r="J738" i="17"/>
  <c r="K738" i="17"/>
  <c r="L738" i="17"/>
  <c r="J739" i="17"/>
  <c r="K739" i="17"/>
  <c r="L739" i="17"/>
  <c r="J740" i="17"/>
  <c r="K740" i="17"/>
  <c r="L740" i="17"/>
  <c r="J741" i="17"/>
  <c r="K741" i="17"/>
  <c r="L741" i="17"/>
  <c r="J742" i="17"/>
  <c r="K742" i="17"/>
  <c r="L742" i="17"/>
  <c r="J743" i="17"/>
  <c r="K743" i="17"/>
  <c r="L743" i="17"/>
  <c r="J744" i="17"/>
  <c r="K744" i="17"/>
  <c r="L744" i="17"/>
  <c r="J745" i="17"/>
  <c r="K745" i="17"/>
  <c r="L745" i="17"/>
  <c r="J746" i="17"/>
  <c r="K746" i="17"/>
  <c r="L746" i="17"/>
  <c r="J747" i="17"/>
  <c r="K747" i="17"/>
  <c r="L747" i="17"/>
  <c r="J748" i="17"/>
  <c r="K748" i="17"/>
  <c r="L748" i="17"/>
  <c r="J749" i="17"/>
  <c r="K749" i="17"/>
  <c r="L749" i="17"/>
  <c r="J750" i="17"/>
  <c r="K750" i="17"/>
  <c r="L750" i="17"/>
  <c r="J751" i="17"/>
  <c r="K751" i="17"/>
  <c r="L751" i="17"/>
  <c r="J752" i="17"/>
  <c r="K752" i="17"/>
  <c r="L752" i="17"/>
  <c r="J753" i="17"/>
  <c r="K753" i="17"/>
  <c r="L753" i="17"/>
  <c r="J754" i="17"/>
  <c r="K754" i="17"/>
  <c r="L754" i="17"/>
  <c r="J755" i="17"/>
  <c r="K755" i="17"/>
  <c r="L755" i="17"/>
  <c r="J756" i="17"/>
  <c r="K756" i="17"/>
  <c r="L756" i="17"/>
  <c r="J757" i="17"/>
  <c r="K757" i="17"/>
  <c r="L757" i="17"/>
  <c r="J758" i="17"/>
  <c r="K758" i="17"/>
  <c r="L758" i="17"/>
  <c r="J759" i="17"/>
  <c r="K759" i="17"/>
  <c r="L759" i="17"/>
  <c r="J760" i="17"/>
  <c r="K760" i="17"/>
  <c r="L760" i="17"/>
  <c r="J761" i="17"/>
  <c r="K761" i="17"/>
  <c r="L761" i="17"/>
  <c r="J762" i="17"/>
  <c r="K762" i="17"/>
  <c r="L762" i="17"/>
  <c r="J763" i="17"/>
  <c r="K763" i="17"/>
  <c r="L763" i="17"/>
  <c r="J764" i="17"/>
  <c r="K764" i="17"/>
  <c r="L764" i="17"/>
  <c r="J765" i="17"/>
  <c r="K765" i="17"/>
  <c r="L765" i="17"/>
  <c r="J766" i="17"/>
  <c r="K766" i="17"/>
  <c r="L766" i="17"/>
  <c r="J767" i="17"/>
  <c r="K767" i="17"/>
  <c r="L767" i="17"/>
  <c r="J768" i="17"/>
  <c r="K768" i="17"/>
  <c r="L768" i="17"/>
  <c r="J769" i="17"/>
  <c r="K769" i="17"/>
  <c r="L769" i="17"/>
  <c r="J770" i="17"/>
  <c r="K770" i="17"/>
  <c r="L770" i="17"/>
  <c r="J771" i="17"/>
  <c r="K771" i="17"/>
  <c r="L771" i="17"/>
  <c r="J772" i="17"/>
  <c r="K772" i="17"/>
  <c r="L772" i="17"/>
  <c r="J773" i="17"/>
  <c r="K773" i="17"/>
  <c r="L773" i="17"/>
  <c r="J774" i="17"/>
  <c r="K774" i="17"/>
  <c r="L774" i="17"/>
  <c r="J775" i="17"/>
  <c r="K775" i="17"/>
  <c r="L775" i="17"/>
  <c r="J776" i="17"/>
  <c r="K776" i="17"/>
  <c r="L776" i="17"/>
  <c r="J777" i="17"/>
  <c r="K777" i="17"/>
  <c r="L777" i="17"/>
  <c r="J778" i="17"/>
  <c r="K778" i="17"/>
  <c r="L778" i="17"/>
  <c r="J779" i="17"/>
  <c r="K779" i="17"/>
  <c r="L779" i="17"/>
  <c r="J780" i="17"/>
  <c r="K780" i="17"/>
  <c r="L780" i="17"/>
  <c r="J781" i="17"/>
  <c r="K781" i="17"/>
  <c r="L781" i="17"/>
  <c r="J782" i="17"/>
  <c r="K782" i="17"/>
  <c r="L782" i="17"/>
  <c r="J783" i="17"/>
  <c r="K783" i="17"/>
  <c r="L783" i="17"/>
  <c r="J784" i="17"/>
  <c r="K784" i="17"/>
  <c r="L784" i="17"/>
  <c r="J785" i="17"/>
  <c r="K785" i="17"/>
  <c r="L785" i="17"/>
  <c r="J786" i="17"/>
  <c r="K786" i="17"/>
  <c r="L786" i="17"/>
  <c r="J787" i="17"/>
  <c r="K787" i="17"/>
  <c r="L787" i="17"/>
  <c r="J788" i="17"/>
  <c r="K788" i="17"/>
  <c r="L788" i="17"/>
  <c r="J789" i="17"/>
  <c r="K789" i="17"/>
  <c r="L789" i="17"/>
  <c r="J790" i="17"/>
  <c r="K790" i="17"/>
  <c r="L790" i="17"/>
  <c r="J791" i="17"/>
  <c r="K791" i="17"/>
  <c r="L791" i="17"/>
  <c r="J792" i="17"/>
  <c r="K792" i="17"/>
  <c r="L792" i="17"/>
  <c r="J793" i="17"/>
  <c r="K793" i="17"/>
  <c r="L793" i="17"/>
  <c r="J794" i="17"/>
  <c r="K794" i="17"/>
  <c r="L794" i="17"/>
  <c r="J795" i="17"/>
  <c r="K795" i="17"/>
  <c r="L795" i="17"/>
  <c r="J796" i="17"/>
  <c r="K796" i="17"/>
  <c r="L796" i="17"/>
  <c r="J797" i="17"/>
  <c r="K797" i="17"/>
  <c r="L797" i="17"/>
  <c r="J798" i="17"/>
  <c r="K798" i="17"/>
  <c r="L798" i="17"/>
  <c r="J799" i="17"/>
  <c r="K799" i="17"/>
  <c r="L799" i="17"/>
  <c r="J800" i="17"/>
  <c r="K800" i="17"/>
  <c r="L800" i="17"/>
  <c r="J801" i="17"/>
  <c r="K801" i="17"/>
  <c r="L801" i="17"/>
  <c r="J802" i="17"/>
  <c r="K802" i="17"/>
  <c r="L802" i="17"/>
  <c r="J803" i="17"/>
  <c r="K803" i="17"/>
  <c r="L803" i="17"/>
  <c r="J804" i="17"/>
  <c r="K804" i="17"/>
  <c r="L804" i="17"/>
  <c r="J805" i="17"/>
  <c r="K805" i="17"/>
  <c r="L805" i="17"/>
  <c r="J806" i="17"/>
  <c r="K806" i="17"/>
  <c r="L806" i="17"/>
  <c r="J807" i="17"/>
  <c r="K807" i="17"/>
  <c r="L807" i="17"/>
  <c r="J808" i="17"/>
  <c r="K808" i="17"/>
  <c r="L808" i="17"/>
  <c r="J809" i="17"/>
  <c r="K809" i="17"/>
  <c r="L809" i="17"/>
  <c r="J810" i="17"/>
  <c r="K810" i="17"/>
  <c r="L810" i="17"/>
  <c r="J811" i="17"/>
  <c r="K811" i="17"/>
  <c r="L811" i="17"/>
  <c r="J812" i="17"/>
  <c r="K812" i="17"/>
  <c r="L812" i="17"/>
  <c r="J813" i="17"/>
  <c r="K813" i="17"/>
  <c r="L813" i="17"/>
  <c r="J814" i="17"/>
  <c r="K814" i="17"/>
  <c r="L814" i="17"/>
  <c r="J815" i="17"/>
  <c r="K815" i="17"/>
  <c r="L815" i="17"/>
  <c r="J816" i="17"/>
  <c r="K816" i="17"/>
  <c r="L816" i="17"/>
  <c r="J817" i="17"/>
  <c r="K817" i="17"/>
  <c r="L817" i="17"/>
  <c r="J818" i="17"/>
  <c r="K818" i="17"/>
  <c r="L818" i="17"/>
  <c r="J819" i="17"/>
  <c r="K819" i="17"/>
  <c r="L819" i="17"/>
  <c r="J820" i="17"/>
  <c r="K820" i="17"/>
  <c r="L820" i="17"/>
  <c r="J821" i="17"/>
  <c r="K821" i="17"/>
  <c r="L821" i="17"/>
  <c r="J822" i="17"/>
  <c r="K822" i="17"/>
  <c r="L822" i="17"/>
  <c r="J823" i="17"/>
  <c r="K823" i="17"/>
  <c r="L823" i="17"/>
  <c r="J824" i="17"/>
  <c r="K824" i="17"/>
  <c r="L824" i="17"/>
  <c r="J825" i="17"/>
  <c r="K825" i="17"/>
  <c r="L825" i="17"/>
  <c r="J826" i="17"/>
  <c r="K826" i="17"/>
  <c r="L826" i="17"/>
  <c r="J827" i="17"/>
  <c r="K827" i="17"/>
  <c r="L827" i="17"/>
  <c r="J828" i="17"/>
  <c r="K828" i="17"/>
  <c r="L828" i="17"/>
  <c r="J829" i="17"/>
  <c r="K829" i="17"/>
  <c r="L829" i="17"/>
  <c r="J830" i="17"/>
  <c r="K830" i="17"/>
  <c r="L830" i="17"/>
  <c r="J831" i="17"/>
  <c r="K831" i="17"/>
  <c r="L831" i="17"/>
  <c r="J832" i="17"/>
  <c r="K832" i="17"/>
  <c r="L832" i="17"/>
  <c r="J833" i="17"/>
  <c r="K833" i="17"/>
  <c r="L833" i="17"/>
  <c r="J834" i="17"/>
  <c r="K834" i="17"/>
  <c r="L834" i="17"/>
  <c r="J835" i="17"/>
  <c r="K835" i="17"/>
  <c r="L835" i="17"/>
  <c r="J836" i="17"/>
  <c r="K836" i="17"/>
  <c r="L836" i="17"/>
  <c r="J837" i="17"/>
  <c r="K837" i="17"/>
  <c r="L837" i="17"/>
  <c r="J838" i="17"/>
  <c r="K838" i="17"/>
  <c r="L838" i="17"/>
  <c r="J839" i="17"/>
  <c r="K839" i="17"/>
  <c r="L839" i="17"/>
  <c r="J840" i="17"/>
  <c r="K840" i="17"/>
  <c r="L840" i="17"/>
  <c r="J841" i="17"/>
  <c r="K841" i="17"/>
  <c r="L841" i="17"/>
  <c r="J842" i="17"/>
  <c r="K842" i="17"/>
  <c r="L842" i="17"/>
  <c r="J843" i="17"/>
  <c r="K843" i="17"/>
  <c r="L843" i="17"/>
  <c r="J844" i="17"/>
  <c r="K844" i="17"/>
  <c r="L844" i="17"/>
  <c r="J845" i="17"/>
  <c r="K845" i="17"/>
  <c r="L845" i="17"/>
  <c r="J846" i="17"/>
  <c r="K846" i="17"/>
  <c r="L846" i="17"/>
  <c r="J847" i="17"/>
  <c r="K847" i="17"/>
  <c r="L847" i="17"/>
  <c r="J848" i="17"/>
  <c r="K848" i="17"/>
  <c r="L848" i="17"/>
  <c r="J849" i="17"/>
  <c r="K849" i="17"/>
  <c r="L849" i="17"/>
  <c r="J850" i="17"/>
  <c r="K850" i="17"/>
  <c r="L850" i="17"/>
  <c r="J851" i="17"/>
  <c r="K851" i="17"/>
  <c r="L851" i="17"/>
  <c r="J852" i="17"/>
  <c r="K852" i="17"/>
  <c r="L852" i="17"/>
  <c r="J853" i="17"/>
  <c r="K853" i="17"/>
  <c r="L853" i="17"/>
  <c r="J854" i="17"/>
  <c r="K854" i="17"/>
  <c r="L854" i="17"/>
  <c r="J855" i="17"/>
  <c r="K855" i="17"/>
  <c r="L855" i="17"/>
  <c r="J856" i="17"/>
  <c r="K856" i="17"/>
  <c r="L856" i="17"/>
  <c r="J857" i="17"/>
  <c r="K857" i="17"/>
  <c r="L857" i="17"/>
  <c r="J858" i="17"/>
  <c r="K858" i="17"/>
  <c r="L858" i="17"/>
  <c r="J859" i="17"/>
  <c r="K859" i="17"/>
  <c r="L859" i="17"/>
  <c r="J860" i="17"/>
  <c r="K860" i="17"/>
  <c r="L860" i="17"/>
  <c r="J861" i="17"/>
  <c r="K861" i="17"/>
  <c r="L861" i="17"/>
  <c r="J862" i="17"/>
  <c r="K862" i="17"/>
  <c r="L862" i="17"/>
  <c r="J863" i="17"/>
  <c r="K863" i="17"/>
  <c r="L863" i="17"/>
  <c r="J864" i="17"/>
  <c r="K864" i="17"/>
  <c r="L864" i="17"/>
  <c r="J865" i="17"/>
  <c r="K865" i="17"/>
  <c r="L865" i="17"/>
  <c r="J866" i="17"/>
  <c r="K866" i="17"/>
  <c r="L866" i="17"/>
  <c r="J867" i="17"/>
  <c r="K867" i="17"/>
  <c r="L867" i="17"/>
  <c r="J868" i="17"/>
  <c r="K868" i="17"/>
  <c r="L868" i="17"/>
  <c r="J869" i="17"/>
  <c r="K869" i="17"/>
  <c r="L869" i="17"/>
  <c r="J870" i="17"/>
  <c r="K870" i="17"/>
  <c r="L870" i="17"/>
  <c r="J871" i="17"/>
  <c r="K871" i="17"/>
  <c r="L871" i="17"/>
  <c r="J872" i="17"/>
  <c r="K872" i="17"/>
  <c r="L872" i="17"/>
  <c r="J873" i="17"/>
  <c r="K873" i="17"/>
  <c r="L873" i="17"/>
  <c r="J874" i="17"/>
  <c r="K874" i="17"/>
  <c r="L874" i="17"/>
  <c r="J875" i="17"/>
  <c r="K875" i="17"/>
  <c r="L875" i="17"/>
  <c r="J876" i="17"/>
  <c r="K876" i="17"/>
  <c r="L876" i="17"/>
  <c r="J877" i="17"/>
  <c r="K877" i="17"/>
  <c r="L877" i="17"/>
  <c r="J878" i="17"/>
  <c r="K878" i="17"/>
  <c r="L878" i="17"/>
  <c r="J879" i="17"/>
  <c r="K879" i="17"/>
  <c r="L879" i="17"/>
  <c r="J880" i="17"/>
  <c r="K880" i="17"/>
  <c r="L880" i="17"/>
  <c r="J881" i="17"/>
  <c r="K881" i="17"/>
  <c r="L881" i="17"/>
  <c r="J882" i="17"/>
  <c r="K882" i="17"/>
  <c r="L882" i="17"/>
  <c r="J883" i="17"/>
  <c r="K883" i="17"/>
  <c r="L883" i="17"/>
  <c r="J884" i="17"/>
  <c r="K884" i="17"/>
  <c r="L884" i="17"/>
  <c r="J885" i="17"/>
  <c r="K885" i="17"/>
  <c r="L885" i="17"/>
  <c r="J886" i="17"/>
  <c r="K886" i="17"/>
  <c r="L886" i="17"/>
  <c r="J887" i="17"/>
  <c r="K887" i="17"/>
  <c r="L887" i="17"/>
  <c r="J888" i="17"/>
  <c r="K888" i="17"/>
  <c r="L888" i="17"/>
  <c r="J889" i="17"/>
  <c r="K889" i="17"/>
  <c r="L889" i="17"/>
  <c r="J890" i="17"/>
  <c r="K890" i="17"/>
  <c r="L890" i="17"/>
  <c r="J891" i="17"/>
  <c r="K891" i="17"/>
  <c r="L891" i="17"/>
  <c r="J892" i="17"/>
  <c r="K892" i="17"/>
  <c r="L892" i="17"/>
  <c r="J893" i="17"/>
  <c r="K893" i="17"/>
  <c r="L893" i="17"/>
  <c r="J894" i="17"/>
  <c r="K894" i="17"/>
  <c r="L894" i="17"/>
  <c r="J895" i="17"/>
  <c r="K895" i="17"/>
  <c r="L895" i="17"/>
  <c r="J896" i="17"/>
  <c r="K896" i="17"/>
  <c r="L896" i="17"/>
  <c r="J897" i="17"/>
  <c r="K897" i="17"/>
  <c r="L897" i="17"/>
  <c r="J898" i="17"/>
  <c r="K898" i="17"/>
  <c r="L898" i="17"/>
  <c r="J899" i="17"/>
  <c r="K899" i="17"/>
  <c r="L899" i="17"/>
  <c r="J900" i="17"/>
  <c r="K900" i="17"/>
  <c r="L900" i="17"/>
  <c r="J901" i="17"/>
  <c r="K901" i="17"/>
  <c r="L901" i="17"/>
  <c r="J902" i="17"/>
  <c r="K902" i="17"/>
  <c r="L902" i="17"/>
  <c r="J903" i="17"/>
  <c r="K903" i="17"/>
  <c r="L903" i="17"/>
  <c r="J904" i="17"/>
  <c r="K904" i="17"/>
  <c r="L904" i="17"/>
  <c r="J905" i="17"/>
  <c r="K905" i="17"/>
  <c r="L905" i="17"/>
  <c r="J906" i="17"/>
  <c r="K906" i="17"/>
  <c r="L906" i="17"/>
  <c r="J907" i="17"/>
  <c r="K907" i="17"/>
  <c r="L907" i="17"/>
  <c r="J908" i="17"/>
  <c r="K908" i="17"/>
  <c r="L908" i="17"/>
  <c r="J909" i="17"/>
  <c r="K909" i="17"/>
  <c r="L909" i="17"/>
  <c r="J910" i="17"/>
  <c r="K910" i="17"/>
  <c r="L910" i="17"/>
  <c r="J911" i="17"/>
  <c r="K911" i="17"/>
  <c r="L911" i="17"/>
  <c r="J912" i="17"/>
  <c r="K912" i="17"/>
  <c r="L912" i="17"/>
  <c r="J913" i="17"/>
  <c r="K913" i="17"/>
  <c r="L913" i="17"/>
  <c r="J914" i="17"/>
  <c r="K914" i="17"/>
  <c r="L914" i="17"/>
  <c r="J915" i="17"/>
  <c r="K915" i="17"/>
  <c r="L915" i="17"/>
  <c r="J916" i="17"/>
  <c r="K916" i="17"/>
  <c r="L916" i="17"/>
  <c r="J917" i="17"/>
  <c r="K917" i="17"/>
  <c r="L917" i="17"/>
  <c r="J918" i="17"/>
  <c r="K918" i="17"/>
  <c r="L918" i="17"/>
  <c r="J919" i="17"/>
  <c r="K919" i="17"/>
  <c r="L919" i="17"/>
  <c r="J920" i="17"/>
  <c r="K920" i="17"/>
  <c r="L920" i="17"/>
  <c r="J921" i="17"/>
  <c r="K921" i="17"/>
  <c r="L921" i="17"/>
  <c r="J922" i="17"/>
  <c r="K922" i="17"/>
  <c r="L922" i="17"/>
  <c r="J923" i="17"/>
  <c r="K923" i="17"/>
  <c r="L923" i="17"/>
  <c r="J924" i="17"/>
  <c r="K924" i="17"/>
  <c r="L924" i="17"/>
  <c r="J925" i="17"/>
  <c r="K925" i="17"/>
  <c r="L925" i="17"/>
  <c r="J926" i="17"/>
  <c r="K926" i="17"/>
  <c r="L926" i="17"/>
  <c r="J927" i="17"/>
  <c r="K927" i="17"/>
  <c r="L927" i="17"/>
  <c r="J928" i="17"/>
  <c r="K928" i="17"/>
  <c r="L928" i="17"/>
  <c r="J929" i="17"/>
  <c r="K929" i="17"/>
  <c r="L929" i="17"/>
  <c r="J930" i="17"/>
  <c r="K930" i="17"/>
  <c r="L930" i="17"/>
  <c r="J931" i="17"/>
  <c r="K931" i="17"/>
  <c r="L931" i="17"/>
  <c r="J932" i="17"/>
  <c r="K932" i="17"/>
  <c r="L932" i="17"/>
  <c r="J933" i="17"/>
  <c r="K933" i="17"/>
  <c r="L933" i="17"/>
  <c r="J934" i="17"/>
  <c r="K934" i="17"/>
  <c r="L934" i="17"/>
  <c r="J935" i="17"/>
  <c r="K935" i="17"/>
  <c r="L935" i="17"/>
  <c r="J936" i="17"/>
  <c r="K936" i="17"/>
  <c r="L936" i="17"/>
  <c r="J937" i="17"/>
  <c r="K937" i="17"/>
  <c r="L937" i="17"/>
  <c r="J938" i="17"/>
  <c r="K938" i="17"/>
  <c r="L938" i="17"/>
  <c r="J939" i="17"/>
  <c r="K939" i="17"/>
  <c r="L939" i="17"/>
  <c r="J940" i="17"/>
  <c r="K940" i="17"/>
  <c r="L940" i="17"/>
  <c r="J941" i="17"/>
  <c r="K941" i="17"/>
  <c r="L941" i="17"/>
  <c r="J942" i="17"/>
  <c r="K942" i="17"/>
  <c r="L942" i="17"/>
  <c r="J943" i="17"/>
  <c r="K943" i="17"/>
  <c r="L943" i="17"/>
  <c r="J944" i="17"/>
  <c r="K944" i="17"/>
  <c r="L944" i="17"/>
  <c r="J945" i="17"/>
  <c r="K945" i="17"/>
  <c r="L945" i="17"/>
  <c r="J946" i="17"/>
  <c r="K946" i="17"/>
  <c r="L946" i="17"/>
  <c r="J947" i="17"/>
  <c r="K947" i="17"/>
  <c r="L947" i="17"/>
  <c r="J948" i="17"/>
  <c r="K948" i="17"/>
  <c r="L948" i="17"/>
  <c r="J949" i="17"/>
  <c r="K949" i="17"/>
  <c r="L949" i="17"/>
  <c r="J950" i="17"/>
  <c r="K950" i="17"/>
  <c r="L950" i="17"/>
  <c r="J951" i="17"/>
  <c r="K951" i="17"/>
  <c r="L951" i="17"/>
  <c r="J952" i="17"/>
  <c r="K952" i="17"/>
  <c r="L952" i="17"/>
  <c r="J953" i="17"/>
  <c r="K953" i="17"/>
  <c r="L953" i="17"/>
  <c r="J954" i="17"/>
  <c r="K954" i="17"/>
  <c r="L954" i="17"/>
  <c r="J955" i="17"/>
  <c r="K955" i="17"/>
  <c r="L955" i="17"/>
  <c r="J956" i="17"/>
  <c r="K956" i="17"/>
  <c r="L956" i="17"/>
  <c r="J957" i="17"/>
  <c r="K957" i="17"/>
  <c r="L957" i="17"/>
  <c r="J958" i="17"/>
  <c r="K958" i="17"/>
  <c r="L958" i="17"/>
  <c r="J959" i="17"/>
  <c r="K959" i="17"/>
  <c r="L959" i="17"/>
  <c r="J960" i="17"/>
  <c r="K960" i="17"/>
  <c r="L960" i="17"/>
  <c r="J961" i="17"/>
  <c r="K961" i="17"/>
  <c r="L961" i="17"/>
  <c r="J962" i="17"/>
  <c r="K962" i="17"/>
  <c r="L962" i="17"/>
  <c r="J963" i="17"/>
  <c r="K963" i="17"/>
  <c r="L963" i="17"/>
  <c r="J964" i="17"/>
  <c r="K964" i="17"/>
  <c r="L964" i="17"/>
  <c r="J965" i="17"/>
  <c r="K965" i="17"/>
  <c r="L965" i="17"/>
  <c r="J966" i="17"/>
  <c r="K966" i="17"/>
  <c r="L966" i="17"/>
  <c r="J967" i="17"/>
  <c r="K967" i="17"/>
  <c r="L967" i="17"/>
  <c r="J968" i="17"/>
  <c r="K968" i="17"/>
  <c r="L968" i="17"/>
  <c r="J969" i="17"/>
  <c r="K969" i="17"/>
  <c r="L969" i="17"/>
  <c r="J970" i="17"/>
  <c r="K970" i="17"/>
  <c r="L970" i="17"/>
  <c r="J971" i="17"/>
  <c r="K971" i="17"/>
  <c r="L971" i="17"/>
  <c r="J972" i="17"/>
  <c r="K972" i="17"/>
  <c r="L972" i="17"/>
  <c r="J973" i="17"/>
  <c r="K973" i="17"/>
  <c r="L973" i="17"/>
  <c r="J974" i="17"/>
  <c r="K974" i="17"/>
  <c r="L974" i="17"/>
  <c r="J975" i="17"/>
  <c r="K975" i="17"/>
  <c r="L975" i="17"/>
  <c r="J976" i="17"/>
  <c r="K976" i="17"/>
  <c r="L976" i="17"/>
  <c r="J977" i="17"/>
  <c r="K977" i="17"/>
  <c r="L977" i="17"/>
  <c r="J978" i="17"/>
  <c r="K978" i="17"/>
  <c r="L978" i="17"/>
  <c r="J979" i="17"/>
  <c r="K979" i="17"/>
  <c r="L979" i="17"/>
  <c r="J980" i="17"/>
  <c r="K980" i="17"/>
  <c r="L980" i="17"/>
  <c r="J981" i="17"/>
  <c r="K981" i="17"/>
  <c r="L981" i="17"/>
  <c r="J982" i="17"/>
  <c r="K982" i="17"/>
  <c r="L982" i="17"/>
  <c r="J983" i="17"/>
  <c r="K983" i="17"/>
  <c r="L983" i="17"/>
  <c r="J984" i="17"/>
  <c r="K984" i="17"/>
  <c r="L984" i="17"/>
  <c r="J985" i="17"/>
  <c r="K985" i="17"/>
  <c r="L985" i="17"/>
  <c r="J986" i="17"/>
  <c r="K986" i="17"/>
  <c r="L986" i="17"/>
  <c r="J987" i="17"/>
  <c r="K987" i="17"/>
  <c r="L987" i="17"/>
  <c r="J988" i="17"/>
  <c r="K988" i="17"/>
  <c r="L988" i="17"/>
  <c r="J989" i="17"/>
  <c r="K989" i="17"/>
  <c r="L989" i="17"/>
  <c r="J990" i="17"/>
  <c r="K990" i="17"/>
  <c r="L990" i="17"/>
  <c r="J991" i="17"/>
  <c r="K991" i="17"/>
  <c r="L991" i="17"/>
  <c r="J992" i="17"/>
  <c r="K992" i="17"/>
  <c r="L992" i="17"/>
  <c r="J993" i="17"/>
  <c r="K993" i="17"/>
  <c r="L993" i="17"/>
  <c r="J994" i="17"/>
  <c r="K994" i="17"/>
  <c r="L994" i="17"/>
  <c r="J995" i="17"/>
  <c r="K995" i="17"/>
  <c r="L995" i="17"/>
  <c r="J996" i="17"/>
  <c r="K996" i="17"/>
  <c r="L996" i="17"/>
  <c r="J997" i="17"/>
  <c r="K997" i="17"/>
  <c r="L997" i="17"/>
  <c r="J998" i="17"/>
  <c r="K998" i="17"/>
  <c r="L998" i="17"/>
  <c r="J999" i="17"/>
  <c r="K999" i="17"/>
  <c r="L999" i="17"/>
  <c r="J1000" i="17"/>
  <c r="K1000" i="17"/>
  <c r="L1000" i="17"/>
  <c r="J1001" i="17"/>
  <c r="K1001" i="17"/>
  <c r="L1001" i="17"/>
  <c r="I2" i="17"/>
  <c r="I3" i="17"/>
  <c r="I4" i="17"/>
  <c r="I5" i="17"/>
  <c r="I6" i="17"/>
  <c r="I7" i="17"/>
  <c r="I8" i="17"/>
  <c r="I9" i="17"/>
  <c r="I10" i="17"/>
  <c r="I11" i="17"/>
  <c r="I12" i="17"/>
  <c r="J3" i="17"/>
  <c r="K3" i="17"/>
  <c r="L3" i="17"/>
  <c r="J2" i="17"/>
  <c r="K2" i="17"/>
  <c r="L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<sst xmlns="http://schemas.openxmlformats.org/spreadsheetml/2006/main" count="11060" uniqueCount="6199">
  <si>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</si>
  <si>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</si>
  <si>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</si>
  <si>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</si>
  <si>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</si>
  <si>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</si>
  <si>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</si>
  <si>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</si>
  <si>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</si>
  <si>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</si>
  <si>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</si>
  <si>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</si>
  <si>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</si>
  <si>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</si>
  <si>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</si>
  <si>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</si>
  <si>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</si>
  <si>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</si>
  <si>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</si>
  <si>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</si>
  <si>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</si>
  <si>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</si>
  <si>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</si>
  <si>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</si>
  <si>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</si>
  <si>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</si>
  <si>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</si>
  <si>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</si>
  <si>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</si>
  <si>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</si>
  <si>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</si>
  <si>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</si>
  <si>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</si>
  <si>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</si>
  <si>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</si>
  <si>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</si>
  <si>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</si>
  <si>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</si>
  <si>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</si>
  <si>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</si>
  <si>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</si>
  <si>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</si>
  <si>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</si>
  <si>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</si>
  <si>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</si>
  <si>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</si>
  <si>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</si>
  <si>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</si>
  <si>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</si>
  <si>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</si>
  <si>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</si>
  <si>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</si>
  <si>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</si>
  <si>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</si>
  <si>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</si>
  <si>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</si>
  <si>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</si>
  <si>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</si>
  <si>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</si>
  <si>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</si>
  <si>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</si>
  <si>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</si>
  <si>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</si>
  <si>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</si>
  <si>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</si>
  <si>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</si>
  <si>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</si>
  <si>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</si>
  <si>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</si>
  <si>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</si>
  <si>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</si>
  <si>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</si>
  <si>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</si>
  <si>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</si>
  <si>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</si>
  <si>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</si>
  <si>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</si>
  <si>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</si>
  <si>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</si>
  <si>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</si>
  <si>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</si>
  <si>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</si>
  <si>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</si>
  <si>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</si>
  <si>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</si>
  <si>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</si>
  <si>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</si>
  <si>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</si>
  <si>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</si>
  <si>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</si>
  <si>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</si>
  <si>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</si>
  <si>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</si>
  <si>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</si>
  <si>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</si>
  <si>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</si>
  <si>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</si>
  <si>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</si>
  <si>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</si>
  <si>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</si>
  <si>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</si>
  <si>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</si>
  <si>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</si>
  <si>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</si>
  <si>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</si>
  <si>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</si>
  <si>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</si>
  <si>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</si>
  <si>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</si>
  <si>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</si>
  <si>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</si>
  <si>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</si>
  <si>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</si>
  <si>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</si>
  <si>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</si>
  <si>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</si>
  <si>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</si>
  <si>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</si>
  <si>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</si>
  <si>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</si>
  <si>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</si>
  <si>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</si>
  <si>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</si>
  <si>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</si>
  <si>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</si>
  <si>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</si>
  <si>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</si>
  <si>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</si>
  <si>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</si>
  <si>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</si>
  <si>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</si>
  <si>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</si>
  <si>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</si>
  <si>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</si>
  <si>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</si>
  <si>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</si>
  <si>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</si>
  <si>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</si>
  <si>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</si>
  <si>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</si>
  <si>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</si>
  <si>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</si>
  <si>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</si>
  <si>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</si>
  <si>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</si>
  <si>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</si>
  <si>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</si>
  <si>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</si>
  <si>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</si>
  <si>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</si>
  <si>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</si>
  <si>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</si>
  <si>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</si>
  <si>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</si>
  <si>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</si>
  <si>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</si>
  <si>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</si>
  <si>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</si>
  <si>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</si>
  <si>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</si>
  <si>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</si>
  <si>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</si>
  <si>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</si>
  <si>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</si>
  <si>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</si>
  <si>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</si>
  <si>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</si>
  <si>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</si>
  <si>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</si>
  <si>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</si>
  <si>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</si>
  <si>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</si>
  <si>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</si>
  <si>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</si>
  <si>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</si>
  <si>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</si>
  <si>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</si>
  <si>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</si>
  <si>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</si>
  <si>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</si>
  <si>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</si>
  <si>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</si>
  <si>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</si>
  <si>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</si>
  <si>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</si>
  <si>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</si>
  <si>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</si>
  <si>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</si>
  <si>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</si>
  <si>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</si>
  <si>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</si>
  <si>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</si>
  <si>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</si>
  <si>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</si>
  <si>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</si>
  <si>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</si>
  <si>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</si>
  <si>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</si>
  <si>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</si>
  <si>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</si>
  <si>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</si>
  <si>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</si>
  <si>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</si>
  <si>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</si>
  <si>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</si>
  <si>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</si>
  <si>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</si>
  <si>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</si>
  <si>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</si>
  <si>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</si>
  <si>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</si>
  <si>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</si>
  <si>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</si>
  <si>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</si>
  <si>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</si>
  <si>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</si>
  <si>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</si>
  <si>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</si>
  <si>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</si>
  <si>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</si>
  <si>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</si>
  <si>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</si>
  <si>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</si>
  <si>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</si>
  <si>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</si>
  <si>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</si>
  <si>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</si>
  <si>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</si>
  <si>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</si>
  <si>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</si>
  <si>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</si>
  <si>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</si>
  <si>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</si>
  <si>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</si>
  <si>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</si>
  <si>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</si>
  <si>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</si>
  <si>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</si>
  <si>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</si>
  <si>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</si>
  <si>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</si>
  <si>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</si>
  <si>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</si>
  <si>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</si>
  <si>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</si>
  <si>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</si>
  <si>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</si>
  <si>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</si>
  <si>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</si>
  <si>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</si>
  <si>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</si>
  <si>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</si>
  <si>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</si>
  <si>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</si>
  <si>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</si>
  <si>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</si>
  <si>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</si>
  <si>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</si>
  <si>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</si>
  <si>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</si>
  <si>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</si>
  <si>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</si>
  <si>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</si>
  <si>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</si>
  <si>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</si>
  <si>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</si>
  <si>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</si>
  <si>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</si>
  <si>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</si>
  <si>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</si>
  <si>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</si>
  <si>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</si>
  <si>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</si>
  <si>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</si>
  <si>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</si>
  <si>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</si>
  <si>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</si>
  <si>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</si>
  <si>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</si>
  <si>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</si>
  <si>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</si>
  <si>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</si>
  <si>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</si>
  <si>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</si>
  <si>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</si>
  <si>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</si>
  <si>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</si>
  <si>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</si>
  <si>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</si>
  <si>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</si>
  <si>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</si>
  <si>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</si>
  <si>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</si>
  <si>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</si>
  <si>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</si>
  <si>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</si>
  <si>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</si>
  <si>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</si>
  <si>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</si>
  <si>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</si>
  <si>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</si>
  <si>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</si>
  <si>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</si>
  <si>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</si>
  <si>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</si>
  <si>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</si>
  <si>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</si>
  <si>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</si>
  <si>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</si>
  <si>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</si>
  <si>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</si>
  <si>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</si>
  <si>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</si>
  <si>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</si>
  <si>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</si>
  <si>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</si>
  <si>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</si>
  <si>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</si>
  <si>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</si>
  <si>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</si>
  <si>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</si>
  <si>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</si>
  <si>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</si>
  <si>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</si>
  <si>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</si>
  <si>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</si>
  <si>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</si>
  <si>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</si>
  <si>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</si>
  <si>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</si>
  <si>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</si>
  <si>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</si>
  <si>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</si>
  <si>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</si>
  <si>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</si>
  <si>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</si>
  <si>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</si>
  <si>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</si>
  <si>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</si>
  <si>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</si>
  <si>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</si>
  <si>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</si>
  <si>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</si>
  <si>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</si>
  <si>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</si>
  <si>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</si>
  <si>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</si>
  <si>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</si>
  <si>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</si>
  <si>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</si>
  <si>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</si>
  <si>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</si>
  <si>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</si>
  <si>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</si>
  <si>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</si>
  <si>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</si>
  <si>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</si>
  <si>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</si>
  <si>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</si>
  <si>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</si>
  <si>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</si>
  <si>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</si>
  <si>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</si>
  <si>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</si>
  <si>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</si>
  <si>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</si>
  <si>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</si>
  <si>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</si>
  <si>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</si>
  <si>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</si>
  <si>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</si>
  <si>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</si>
  <si>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</si>
  <si>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</si>
  <si>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</si>
  <si>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</si>
  <si>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</si>
  <si>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</si>
  <si>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</si>
  <si>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</si>
  <si>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</si>
  <si>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</si>
  <si>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</si>
  <si>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</si>
  <si>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</si>
  <si>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</si>
  <si>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</si>
  <si>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</si>
  <si>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</si>
  <si>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</si>
  <si>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</si>
  <si>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</si>
  <si>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</si>
  <si>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</si>
  <si>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</si>
  <si>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</si>
  <si>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</si>
  <si>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</si>
  <si>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</si>
  <si>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</si>
  <si>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</si>
  <si>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</si>
  <si>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</si>
  <si>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</si>
  <si>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</si>
  <si>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</si>
  <si>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</si>
  <si>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</si>
  <si>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</si>
  <si>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</si>
  <si>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</si>
  <si>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</si>
  <si>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</si>
  <si>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</si>
  <si>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</si>
  <si>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</si>
  <si>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</si>
  <si>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</si>
  <si>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</si>
  <si>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</si>
  <si>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</si>
  <si>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</si>
  <si>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</si>
  <si>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</si>
  <si>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</si>
  <si>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</si>
  <si>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</si>
  <si>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</si>
  <si>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</si>
  <si>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</si>
  <si>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</si>
  <si>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</si>
  <si>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</si>
  <si>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</si>
  <si>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</si>
  <si>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</si>
  <si>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</si>
  <si>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</si>
  <si>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</si>
  <si>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</si>
  <si>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</si>
  <si>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</si>
  <si>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</si>
  <si>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</si>
  <si>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</si>
  <si>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</si>
  <si>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</si>
  <si>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</si>
  <si>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</si>
  <si>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</si>
  <si>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</si>
  <si>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</si>
  <si>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</si>
  <si>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</si>
  <si>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</si>
  <si>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</si>
  <si>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</si>
  <si>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</si>
  <si>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</si>
  <si>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</si>
  <si>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</si>
  <si>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</si>
  <si>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</si>
  <si>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</si>
  <si>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</si>
  <si>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</si>
  <si>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</si>
  <si>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</si>
  <si>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</si>
  <si>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</si>
  <si>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</si>
  <si>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</si>
  <si>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</si>
  <si>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</si>
  <si>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</si>
  <si>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</si>
  <si>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</si>
  <si>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</si>
  <si>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</si>
  <si>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</si>
  <si>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</si>
  <si>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</si>
  <si>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</si>
  <si>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</si>
  <si>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</si>
  <si>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</si>
  <si>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</si>
  <si>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</si>
  <si>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</si>
  <si>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</si>
  <si>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</si>
  <si>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</si>
  <si>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</si>
  <si>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</si>
  <si>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</si>
  <si>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</si>
  <si>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</si>
  <si>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</si>
  <si>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</si>
  <si>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</si>
  <si>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</si>
  <si>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</si>
  <si>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</si>
  <si>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</si>
  <si>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</si>
  <si>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</si>
  <si>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</si>
  <si>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</si>
  <si>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</si>
  <si>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</si>
  <si>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</si>
  <si>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</si>
  <si>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</si>
  <si>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</si>
  <si>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</si>
  <si>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</si>
  <si>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</si>
  <si>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</si>
  <si>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</si>
  <si>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</si>
  <si>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</si>
  <si>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</si>
  <si>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</si>
  <si>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</si>
  <si>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</si>
  <si>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</si>
  <si>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</si>
  <si>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</si>
  <si>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</si>
  <si>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</si>
  <si>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</si>
  <si>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</si>
  <si>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</si>
  <si>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</si>
  <si>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</si>
  <si>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</si>
  <si>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</si>
  <si>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</si>
  <si>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</si>
  <si>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</si>
  <si>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</si>
  <si>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</si>
  <si>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</si>
  <si>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</si>
  <si>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</si>
  <si>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</si>
  <si>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</si>
  <si>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</si>
  <si>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</si>
  <si>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</si>
  <si>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</si>
  <si>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</si>
  <si>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</si>
  <si>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</si>
  <si>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</si>
  <si>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</si>
  <si>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</si>
  <si>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</si>
  <si>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</si>
  <si>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</si>
  <si>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</si>
  <si>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</si>
  <si>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</si>
  <si>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</si>
  <si>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</si>
  <si>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</si>
  <si>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</si>
  <si>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</si>
  <si>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</si>
  <si>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</si>
  <si>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</si>
  <si>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</si>
  <si>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</si>
  <si>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</si>
  <si>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</si>
  <si>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</si>
  <si>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</si>
  <si>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</si>
  <si>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</si>
  <si>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</si>
  <si>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</si>
  <si>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</si>
  <si>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</si>
  <si>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</si>
  <si>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</si>
  <si>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</si>
  <si>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</si>
  <si>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</si>
  <si>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</si>
  <si>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</si>
  <si>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</si>
  <si>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</si>
  <si>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</si>
  <si>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</si>
  <si>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</si>
  <si>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</si>
  <si>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</si>
  <si>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</si>
  <si>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</si>
  <si>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</si>
  <si>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</si>
  <si>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</si>
  <si>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</si>
  <si>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</si>
  <si>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</si>
  <si>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</si>
  <si>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</si>
  <si>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</si>
  <si>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</si>
  <si>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</si>
  <si>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</si>
  <si>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</si>
  <si>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</si>
  <si>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</si>
  <si>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</si>
  <si>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</si>
  <si>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</si>
  <si>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</si>
  <si>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</si>
  <si>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</si>
  <si>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</si>
  <si>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</si>
  <si>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</si>
  <si>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</si>
  <si>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</si>
  <si>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</si>
  <si>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</si>
  <si>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</si>
  <si>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</si>
  <si>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</si>
  <si>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</si>
  <si>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</si>
  <si>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</si>
  <si>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</si>
  <si>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</si>
  <si>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</si>
  <si>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</si>
  <si>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</si>
  <si>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</si>
  <si>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</si>
  <si>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</si>
  <si>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</si>
  <si>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</si>
  <si>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</si>
  <si>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</si>
  <si>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</si>
  <si>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</si>
  <si>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</si>
  <si>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</si>
  <si>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</si>
  <si>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</si>
  <si>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</si>
  <si>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</si>
  <si>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</si>
  <si>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</si>
  <si>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</si>
  <si>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</si>
  <si>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</si>
  <si>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</si>
  <si>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</si>
  <si>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</si>
  <si>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</si>
  <si>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</si>
  <si>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</si>
  <si>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</si>
  <si>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</si>
  <si>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</si>
  <si>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</si>
  <si>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</si>
  <si>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</si>
  <si>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</si>
  <si>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</si>
  <si>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</si>
  <si>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</si>
  <si>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</si>
  <si>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</si>
  <si>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</si>
  <si>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</si>
  <si>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</si>
  <si>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</si>
  <si>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</si>
  <si>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</si>
  <si>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</si>
  <si>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</si>
  <si>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</si>
  <si>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</si>
  <si>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</si>
  <si>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</si>
  <si>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</si>
  <si>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</si>
  <si>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</si>
  <si>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</si>
  <si>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</si>
  <si>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</si>
  <si>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</si>
  <si>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</si>
  <si>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</si>
  <si>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</si>
  <si>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</si>
  <si>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</si>
  <si>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</si>
  <si>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</si>
  <si>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</si>
  <si>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</si>
  <si>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</si>
  <si>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</si>
  <si>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</si>
  <si>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</si>
  <si>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</si>
  <si>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</si>
  <si>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</si>
  <si>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</si>
  <si>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</si>
  <si>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</si>
  <si>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</si>
  <si>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</si>
  <si>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</si>
  <si>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</si>
  <si>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</si>
  <si>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</si>
  <si>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</si>
  <si>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</si>
  <si>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</si>
  <si>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</si>
  <si>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</si>
  <si>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</si>
  <si>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</si>
  <si>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</si>
  <si>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</si>
  <si>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</si>
  <si>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</si>
  <si>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</si>
  <si>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</si>
  <si>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</si>
  <si>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</si>
  <si>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</si>
  <si>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</si>
  <si>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</si>
  <si>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</si>
  <si>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</si>
  <si>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</si>
  <si>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</si>
  <si>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</si>
  <si>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</si>
  <si>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</si>
  <si>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</si>
  <si>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</si>
  <si>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</si>
  <si>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</si>
  <si>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</si>
  <si>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</si>
  <si>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</si>
  <si>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</si>
  <si>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</si>
  <si>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</si>
  <si>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</si>
  <si>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</si>
  <si>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</si>
  <si>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</si>
  <si>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</si>
  <si>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</si>
  <si>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</si>
  <si>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</si>
  <si>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</si>
  <si>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</si>
  <si>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</si>
  <si>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</si>
  <si>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</si>
  <si>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</si>
  <si>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</si>
  <si>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</si>
  <si>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</si>
  <si>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</si>
  <si>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</si>
  <si>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</si>
  <si>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</si>
  <si>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</si>
  <si>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</si>
  <si>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</si>
  <si>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</si>
  <si>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</si>
  <si>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</si>
  <si>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</si>
  <si>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</si>
  <si>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</si>
  <si>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</si>
  <si>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</si>
  <si>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</si>
  <si>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</si>
  <si>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</si>
  <si>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</si>
  <si>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</si>
  <si>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</si>
  <si>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</si>
  <si>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</si>
  <si>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</si>
  <si>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</si>
  <si>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</si>
  <si>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</si>
  <si>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</si>
  <si>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</si>
  <si>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</si>
  <si>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</si>
  <si>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</si>
  <si>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</si>
  <si>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</si>
  <si>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</si>
  <si>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</si>
  <si>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</si>
  <si>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</si>
  <si>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</si>
  <si>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</si>
  <si>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</si>
  <si>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</si>
  <si>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</si>
  <si>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</si>
  <si>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</si>
  <si>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</si>
  <si>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</si>
  <si>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</si>
  <si>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</si>
  <si>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</si>
  <si>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</si>
  <si>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</si>
  <si>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</si>
  <si>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</si>
  <si>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</si>
  <si>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</si>
  <si>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</si>
  <si>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</si>
  <si>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</si>
  <si>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</si>
  <si>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</si>
  <si>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</si>
  <si>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</si>
  <si>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</si>
  <si>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</si>
  <si>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</si>
  <si>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</si>
  <si>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</si>
  <si>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</si>
  <si>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</si>
  <si>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</si>
  <si>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</si>
  <si>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</si>
  <si>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</si>
  <si>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</si>
  <si>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</si>
  <si>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</si>
  <si>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</si>
  <si>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</si>
  <si>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</si>
  <si>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</si>
  <si>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</si>
  <si>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</si>
  <si>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</si>
  <si>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</si>
  <si>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</si>
  <si>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</si>
  <si>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</si>
  <si>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</si>
  <si>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</si>
  <si>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</si>
  <si>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</si>
  <si>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</si>
  <si>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</si>
  <si>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</si>
  <si>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</si>
  <si>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</si>
  <si>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</si>
  <si>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</si>
  <si>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</si>
  <si>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</si>
  <si>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</si>
  <si>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</si>
  <si>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</si>
  <si>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</si>
  <si>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</si>
  <si>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</si>
  <si>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</si>
  <si>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</si>
  <si>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</si>
  <si>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</si>
  <si>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</si>
  <si>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</si>
  <si>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</si>
  <si>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</si>
  <si>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</si>
  <si>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</si>
  <si>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</si>
  <si>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</si>
  <si>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</si>
  <si>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</si>
  <si>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</si>
  <si>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</si>
  <si>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</si>
  <si>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</si>
  <si>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</si>
  <si>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</si>
  <si>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</si>
  <si>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</si>
  <si>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</si>
  <si>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</si>
  <si>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</si>
  <si>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</si>
  <si>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</si>
  <si>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</si>
  <si>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</si>
  <si>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</si>
  <si>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</si>
  <si>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</si>
  <si>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</si>
  <si>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</si>
  <si>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</si>
  <si>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</si>
  <si>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</si>
  <si>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</si>
  <si>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</si>
  <si>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</si>
  <si>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</si>
  <si>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</si>
  <si>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</si>
  <si>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</si>
  <si>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</si>
  <si>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</si>
  <si>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</si>
  <si>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</si>
  <si>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</si>
  <si>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</si>
  <si>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</si>
  <si>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</si>
  <si>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</si>
  <si>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</si>
  <si>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</si>
  <si>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</si>
  <si>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</si>
  <si>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</si>
  <si>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</si>
  <si>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</si>
  <si>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</si>
  <si>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</si>
  <si>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</si>
  <si>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</si>
  <si>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</si>
  <si>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</si>
  <si>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</si>
  <si>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</si>
  <si>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</si>
  <si>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</si>
  <si>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</si>
  <si>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</si>
  <si>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</si>
  <si>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</si>
  <si>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</si>
  <si>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</si>
  <si>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</si>
  <si>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</si>
  <si>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</si>
  <si>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</si>
  <si>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</si>
  <si>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</si>
  <si>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</si>
  <si>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</si>
  <si>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</si>
  <si>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</si>
  <si>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</si>
  <si>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</si>
  <si>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</si>
  <si>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</si>
  <si>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</si>
  <si>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</si>
  <si>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</si>
  <si>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</si>
  <si>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</si>
  <si>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</si>
  <si>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</si>
  <si>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</si>
  <si>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</si>
  <si>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</si>
  <si>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</si>
  <si>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</si>
  <si>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</si>
  <si>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</si>
  <si>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</si>
  <si>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</si>
  <si>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</si>
  <si>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</si>
  <si>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</si>
  <si>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</si>
  <si>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</si>
  <si>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</si>
  <si>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</si>
  <si>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</si>
  <si>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</si>
  <si>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</si>
  <si>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</si>
  <si>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</si>
  <si>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</si>
  <si>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</si>
  <si>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</si>
  <si>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</si>
  <si>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</si>
  <si>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</si>
  <si>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</si>
  <si>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</si>
  <si>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</si>
  <si>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</si>
  <si>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</si>
  <si>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</si>
  <si>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</si>
  <si>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</si>
  <si>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</si>
  <si>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</si>
  <si>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</si>
  <si>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</si>
  <si>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</si>
  <si>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</si>
  <si>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</si>
  <si>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</si>
  <si>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</si>
  <si>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</si>
  <si>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</si>
  <si>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</si>
  <si>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</si>
  <si>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</si>
  <si>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</si>
  <si>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</si>
  <si>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</si>
  <si>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</si>
  <si>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</si>
  <si>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</si>
  <si>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</si>
  <si>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</si>
  <si>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</si>
  <si>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</si>
  <si>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</si>
  <si>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</si>
  <si>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</si>
  <si>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</si>
  <si>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</si>
  <si>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</si>
  <si>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</si>
  <si>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</si>
  <si>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</si>
  <si>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</si>
  <si>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</si>
  <si>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</si>
  <si>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</si>
  <si>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</si>
  <si>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</si>
  <si>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</si>
  <si>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</si>
  <si>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</si>
  <si>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</si>
  <si>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</si>
  <si>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</si>
  <si>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</si>
  <si>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</si>
  <si>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</si>
  <si>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</si>
  <si>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</si>
  <si>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</si>
  <si>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</si>
  <si>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</si>
  <si>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</si>
  <si>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</si>
  <si>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</si>
  <si>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</si>
  <si>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</si>
  <si>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</si>
  <si>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</si>
  <si>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</si>
  <si>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</si>
  <si>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</si>
  <si>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</si>
  <si>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</si>
  <si>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</si>
  <si>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</si>
  <si>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</si>
  <si>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</si>
  <si>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</si>
  <si>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</si>
  <si>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</si>
  <si>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</si>
  <si>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</si>
  <si>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</si>
  <si>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</si>
  <si>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</si>
  <si>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</si>
  <si>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</si>
  <si>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</si>
  <si>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</si>
  <si>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</si>
  <si>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</si>
  <si>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</si>
  <si>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</si>
  <si>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</si>
  <si>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</si>
  <si>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</si>
  <si>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</si>
  <si>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</si>
  <si>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</si>
  <si>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</si>
  <si>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</si>
  <si>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</si>
  <si>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</si>
  <si>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</si>
  <si>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</si>
  <si>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</si>
  <si>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</si>
  <si>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</si>
  <si>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</si>
  <si>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</si>
  <si>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</si>
  <si>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</si>
  <si>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</si>
  <si>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</si>
  <si>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</si>
  <si>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</si>
  <si>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</si>
  <si>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</si>
  <si>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</si>
  <si>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</si>
  <si>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</si>
  <si>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</si>
  <si>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</si>
  <si>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</si>
  <si>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</si>
  <si>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</si>
  <si>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</si>
  <si>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</si>
  <si>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</si>
  <si>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</si>
  <si>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</si>
  <si>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</si>
  <si>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</si>
  <si>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</si>
  <si>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</si>
  <si>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</si>
  <si>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</si>
  <si>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</si>
  <si>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</si>
  <si>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</si>
  <si>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</si>
  <si>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</si>
  <si>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</si>
  <si>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</si>
  <si>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</si>
  <si>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</si>
  <si>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</si>
  <si>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</si>
  <si>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</si>
  <si>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</si>
  <si>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</si>
  <si>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</si>
  <si>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</si>
  <si>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</si>
  <si>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</si>
  <si>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</si>
  <si>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</si>
  <si>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</si>
  <si>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</si>
  <si>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</si>
  <si>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</si>
  <si>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</si>
  <si>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</si>
  <si>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</si>
  <si>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</si>
  <si>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</si>
  <si>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</si>
  <si>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</si>
  <si>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</si>
  <si>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</si>
  <si>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</si>
  <si>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</si>
  <si>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</si>
  <si>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</si>
  <si>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</si>
  <si>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</si>
  <si>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</si>
  <si>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</si>
  <si>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</si>
  <si>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</si>
  <si>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</si>
  <si>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</si>
  <si>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</si>
  <si>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</si>
  <si>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</si>
  <si>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</si>
  <si>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</si>
  <si>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</si>
  <si>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</si>
  <si>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</si>
  <si>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</si>
  <si>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</si>
  <si>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</si>
  <si>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</si>
  <si>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</si>
  <si>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</si>
  <si>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</si>
  <si>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</si>
  <si>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</si>
  <si>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</si>
  <si>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</si>
  <si>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</si>
  <si>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</si>
  <si>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</si>
  <si>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</si>
  <si>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</si>
  <si>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</si>
  <si>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</si>
  <si>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</si>
  <si>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</si>
  <si>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</si>
  <si>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</si>
  <si>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</si>
  <si>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</si>
  <si>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</si>
  <si>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</si>
  <si>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</si>
  <si>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</si>
  <si>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</si>
  <si>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</si>
  <si>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</si>
  <si>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</si>
  <si>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</si>
  <si>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</si>
  <si>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</si>
  <si>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</si>
  <si>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</si>
  <si>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</si>
  <si>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</si>
  <si>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</si>
  <si>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</si>
  <si>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</si>
  <si>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</si>
  <si>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</si>
  <si>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</si>
  <si>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</si>
  <si>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</si>
  <si>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</si>
  <si>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</si>
  <si>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</si>
  <si>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</si>
  <si>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</si>
  <si>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</si>
  <si>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</si>
  <si>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</si>
  <si>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</si>
  <si>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</si>
  <si>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</si>
  <si>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</si>
  <si>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</si>
  <si>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</si>
  <si>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</si>
  <si>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</si>
  <si>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</si>
  <si>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</si>
  <si>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</si>
  <si>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</si>
  <si>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</si>
  <si>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</si>
  <si>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</si>
  <si>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</si>
  <si>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</si>
  <si>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</si>
  <si>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</si>
  <si>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</si>
  <si>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</si>
  <si>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</si>
  <si>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</si>
  <si>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</si>
  <si>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</si>
  <si>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</si>
  <si>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</si>
  <si>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</si>
  <si>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</si>
  <si>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</si>
  <si>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</si>
  <si>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</si>
  <si>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</si>
  <si>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</si>
  <si>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</si>
  <si>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</si>
  <si>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</si>
  <si>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</si>
  <si>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</si>
  <si>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</si>
  <si>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</si>
  <si>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</si>
  <si>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</si>
  <si>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</si>
  <si>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</si>
  <si>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</si>
  <si>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</si>
  <si>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</si>
  <si>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</si>
  <si>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</si>
  <si>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</si>
  <si>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</si>
  <si>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</si>
  <si>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</si>
  <si>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</si>
  <si>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</si>
  <si>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</si>
  <si>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</si>
  <si>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</si>
  <si>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</si>
  <si>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</si>
  <si>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</si>
  <si>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</si>
  <si>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</si>
  <si>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</si>
  <si>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</si>
  <si>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</si>
  <si>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</si>
  <si>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</si>
  <si>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</si>
  <si>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</si>
  <si>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</si>
  <si>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</si>
  <si>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</si>
  <si>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</si>
  <si>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</si>
  <si>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</si>
  <si>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</si>
  <si>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</si>
  <si>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</si>
  <si>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</si>
  <si>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</si>
  <si>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</si>
  <si>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</si>
  <si>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</si>
  <si>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</si>
  <si>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</si>
  <si>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</si>
  <si>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</si>
  <si>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</si>
  <si>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</si>
  <si>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</si>
  <si>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</si>
  <si>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</si>
  <si>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</si>
  <si>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</si>
  <si>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</si>
  <si>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</si>
  <si>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</si>
  <si>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</si>
  <si>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</si>
  <si>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</si>
  <si>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</si>
  <si>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</si>
  <si>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</si>
  <si>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</si>
  <si>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</si>
  <si>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</si>
  <si>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</si>
  <si>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</si>
  <si>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</si>
  <si>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</si>
  <si>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</si>
  <si>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</si>
  <si>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</si>
  <si>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</si>
  <si>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</si>
  <si>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</si>
  <si>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</si>
  <si>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</si>
  <si>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</si>
  <si>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</si>
  <si>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</si>
  <si>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</si>
  <si>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</si>
  <si>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</si>
  <si>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</si>
  <si>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</si>
  <si>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</si>
  <si>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</si>
  <si>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</si>
  <si>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</si>
  <si>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</si>
  <si>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</si>
  <si>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</si>
  <si>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</si>
  <si>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</si>
  <si>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</si>
  <si>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</si>
  <si>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</si>
  <si>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</si>
  <si>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</si>
  <si>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</si>
  <si>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</si>
  <si>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</si>
  <si>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</si>
  <si>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</si>
  <si>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</si>
  <si>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</si>
  <si>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</si>
  <si>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</si>
  <si>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</si>
  <si>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</si>
  <si>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</si>
  <si>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</si>
  <si>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</si>
  <si>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</si>
  <si>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</si>
  <si>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</si>
  <si>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</si>
  <si>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</si>
  <si>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</si>
  <si>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</si>
  <si>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</si>
  <si>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</si>
  <si>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</si>
  <si>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</si>
  <si>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</si>
  <si>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</si>
  <si>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</si>
  <si>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</si>
  <si>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</si>
  <si>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</si>
  <si>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</si>
  <si>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</si>
  <si>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</si>
  <si>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</si>
  <si>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</si>
  <si>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</si>
  <si>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</si>
  <si>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</si>
  <si>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</si>
  <si>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</si>
  <si>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</si>
  <si>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</si>
  <si>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</si>
  <si>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</si>
  <si>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</si>
  <si>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</si>
  <si>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</si>
  <si>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</si>
  <si>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</si>
  <si>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</si>
  <si>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</si>
  <si>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</si>
  <si>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</si>
  <si>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</si>
  <si>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</si>
  <si>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</si>
  <si>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</si>
  <si>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</si>
  <si>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</si>
  <si>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</si>
  <si>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</si>
  <si>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</si>
  <si>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</si>
  <si>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</si>
  <si>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</si>
  <si>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</si>
  <si>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</si>
  <si>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</si>
  <si>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</si>
  <si>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</si>
  <si>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</si>
  <si>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</si>
  <si>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</si>
  <si>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</si>
  <si>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</si>
  <si>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</si>
  <si>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</si>
  <si>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</si>
  <si>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</si>
  <si>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</si>
  <si>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</si>
  <si>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</si>
  <si>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</si>
  <si>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</si>
  <si>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</si>
  <si>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</si>
  <si>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</si>
  <si>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</si>
  <si>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</si>
  <si>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</si>
  <si>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</si>
  <si>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</si>
  <si>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</si>
  <si>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</si>
  <si>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</si>
  <si>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</si>
  <si>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</si>
  <si>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</si>
  <si>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</si>
  <si>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</si>
  <si>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</si>
  <si>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</si>
  <si>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</si>
  <si>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</si>
  <si>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</si>
  <si>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</si>
  <si>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</si>
  <si>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</si>
  <si>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</si>
  <si>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</si>
  <si>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</si>
  <si>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</si>
  <si>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</si>
  <si>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</si>
  <si>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</si>
  <si>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</si>
  <si>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</si>
  <si>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</si>
  <si>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</si>
  <si>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</si>
  <si>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</si>
  <si>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</si>
  <si>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</si>
  <si>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</si>
  <si>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</si>
  <si>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</si>
  <si>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</si>
  <si>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</si>
  <si>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</si>
  <si>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</si>
  <si>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</si>
  <si>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</si>
  <si>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</si>
  <si>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</si>
  <si>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</si>
  <si>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</si>
  <si>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</si>
  <si>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</si>
  <si>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</si>
  <si>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</si>
  <si>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</si>
  <si>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</si>
  <si>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</si>
  <si>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</si>
  <si>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</si>
  <si>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</si>
  <si>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</si>
  <si>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</si>
  <si>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</si>
  <si>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</si>
  <si>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</si>
  <si>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</si>
  <si>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</si>
  <si>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</si>
  <si>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</si>
  <si>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</si>
  <si>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</si>
  <si>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</si>
  <si>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</si>
  <si>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</si>
  <si>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</si>
  <si>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</si>
  <si>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</si>
  <si>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</si>
  <si>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</si>
  <si>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</si>
  <si>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</si>
  <si>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</si>
  <si>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</si>
  <si>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</si>
  <si>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</si>
  <si>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</si>
  <si>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</si>
  <si>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</si>
  <si>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</si>
  <si>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</si>
  <si>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</si>
  <si>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</si>
  <si>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</si>
  <si>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</si>
  <si>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</si>
  <si>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</si>
  <si>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</si>
  <si>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</si>
  <si>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</si>
  <si>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</si>
  <si>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</si>
  <si>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</si>
  <si>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</si>
  <si>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</si>
  <si>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</si>
  <si>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</si>
  <si>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</si>
  <si>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</si>
  <si>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</si>
  <si>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</si>
  <si>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</si>
  <si>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</si>
  <si>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</si>
  <si>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</si>
  <si>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</si>
  <si>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</si>
  <si>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</si>
  <si>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</si>
  <si>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</si>
  <si>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</si>
  <si>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</si>
  <si>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</si>
  <si>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</si>
  <si>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</si>
  <si>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</si>
  <si>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</si>
  <si>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</si>
  <si>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</si>
  <si>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</si>
  <si>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</si>
  <si>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</si>
  <si>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</si>
  <si>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</si>
  <si>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</si>
  <si>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</si>
  <si>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</si>
  <si>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</si>
  <si>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</si>
  <si>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</si>
  <si>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</si>
  <si>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</si>
  <si>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</si>
  <si>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</si>
  <si>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</si>
  <si>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</si>
  <si>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</si>
  <si>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</si>
  <si>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</si>
  <si>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</si>
  <si>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</si>
  <si>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</si>
  <si>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</si>
  <si>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</si>
  <si>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</si>
  <si>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</si>
  <si>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</si>
  <si>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</si>
  <si>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</si>
  <si>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</si>
  <si>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</si>
  <si>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</si>
  <si>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</si>
  <si>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</si>
  <si>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</si>
  <si>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</si>
  <si>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</si>
  <si>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</si>
  <si>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</si>
  <si>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</si>
  <si>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</si>
  <si>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</si>
  <si>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</si>
  <si>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</si>
  <si>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</si>
  <si>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</si>
  <si>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</si>
  <si>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</si>
  <si>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</si>
  <si>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</si>
  <si>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</si>
  <si>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</si>
  <si>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</si>
  <si>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</si>
  <si>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</si>
  <si>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</si>
  <si>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</si>
  <si>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</si>
  <si>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</si>
  <si>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</si>
  <si>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</si>
  <si>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</si>
  <si>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</si>
  <si>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</si>
  <si>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</si>
  <si>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</si>
  <si>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</si>
  <si>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</si>
  <si>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</si>
  <si>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</si>
  <si>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</si>
  <si>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</si>
  <si>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</si>
  <si>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</si>
  <si>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</si>
  <si>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</si>
  <si>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</si>
  <si>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</si>
  <si>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</si>
  <si>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</si>
  <si>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</si>
  <si>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</si>
  <si>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</si>
  <si>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</si>
  <si>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</si>
  <si>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</si>
  <si>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</si>
  <si>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</si>
  <si>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</si>
  <si>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</si>
  <si>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</si>
  <si>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</si>
  <si>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</si>
  <si>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</si>
  <si>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</si>
  <si>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</si>
  <si>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</si>
  <si>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</si>
  <si>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</si>
  <si>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</si>
  <si>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</si>
  <si>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</si>
  <si>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</si>
  <si>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</si>
  <si>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</si>
  <si>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</si>
  <si>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</si>
  <si>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</si>
  <si>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</si>
  <si>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</si>
  <si>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</si>
  <si>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</si>
  <si>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</si>
  <si>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</si>
  <si>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</si>
  <si>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</si>
  <si>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</si>
  <si>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</si>
  <si>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</si>
  <si>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</si>
  <si>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</si>
  <si>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</si>
  <si>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</si>
  <si>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</si>
  <si>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</si>
  <si>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</si>
  <si>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</si>
  <si>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</si>
  <si>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</si>
  <si>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</si>
  <si>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</si>
  <si>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</si>
  <si>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</si>
  <si>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</si>
  <si>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</si>
  <si>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</si>
  <si>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</si>
  <si>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</si>
  <si>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</si>
  <si>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</si>
  <si>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</si>
  <si>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</si>
  <si>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</si>
  <si>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</si>
  <si>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</si>
  <si>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</si>
  <si>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</si>
  <si>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</si>
  <si>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</si>
  <si>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</si>
  <si>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</si>
  <si>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</si>
  <si>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</si>
  <si>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</si>
  <si>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</si>
  <si>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</si>
  <si>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</si>
  <si>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</si>
  <si>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</si>
  <si>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</si>
  <si>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</si>
  <si>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</si>
  <si>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</si>
  <si>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</si>
  <si>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</si>
  <si>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</si>
  <si>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</si>
  <si>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</si>
  <si>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</si>
  <si>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</si>
  <si>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</si>
  <si>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</si>
  <si>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</si>
  <si>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</si>
  <si>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</si>
  <si>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</si>
  <si>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</si>
  <si>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</si>
  <si>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</si>
  <si>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</si>
  <si>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</si>
  <si>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</si>
  <si>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</si>
  <si>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</si>
  <si>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</si>
  <si>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</si>
  <si>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</si>
  <si>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</si>
  <si>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</si>
  <si>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</si>
  <si>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</si>
  <si>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</si>
  <si>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</si>
  <si>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</si>
  <si>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</si>
  <si>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</si>
  <si>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</si>
  <si>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</si>
  <si>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</si>
  <si>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</si>
  <si>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</si>
  <si>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</si>
  <si>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</si>
  <si>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</si>
  <si>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</si>
  <si>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</si>
  <si>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</si>
  <si>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</si>
  <si>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</si>
  <si>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</si>
  <si>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</si>
  <si>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</si>
  <si>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</si>
  <si>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</si>
  <si>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</si>
  <si>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</si>
  <si>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</si>
  <si>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</si>
  <si>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</si>
  <si>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</si>
  <si>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</si>
  <si>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</si>
  <si>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</si>
  <si>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</si>
  <si>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</si>
  <si>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</si>
  <si>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</si>
  <si>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</si>
  <si>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</si>
  <si>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</si>
  <si>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</si>
  <si>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</si>
  <si>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</si>
  <si>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</si>
  <si>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</si>
  <si>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</si>
  <si>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</si>
  <si>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</si>
  <si>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</si>
  <si>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</si>
  <si>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</si>
  <si>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</si>
  <si>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</si>
  <si>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</si>
  <si>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</si>
  <si>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</si>
  <si>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</si>
  <si>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</si>
  <si>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</si>
  <si>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</si>
  <si>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</si>
  <si>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</si>
  <si>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</si>
  <si>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</si>
  <si>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</si>
  <si>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</si>
  <si>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</si>
  <si>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</si>
  <si>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</si>
  <si>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</si>
  <si>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</si>
  <si>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</si>
  <si>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</si>
  <si>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</si>
  <si>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</si>
  <si>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</si>
  <si>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</si>
  <si>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</si>
  <si>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</si>
  <si>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</si>
  <si>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</si>
  <si>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</si>
  <si>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</si>
  <si>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</si>
  <si>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</si>
  <si>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</si>
  <si>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</si>
  <si>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</si>
  <si>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</si>
  <si>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</si>
  <si>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</si>
  <si>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</si>
  <si>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</si>
  <si>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</si>
  <si>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</si>
  <si>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</si>
  <si>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</si>
  <si>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</si>
  <si>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</si>
  <si>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</si>
  <si>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</si>
  <si>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</si>
  <si>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</si>
  <si>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</si>
  <si>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</si>
  <si>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</si>
  <si>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</si>
  <si>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</si>
  <si>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</si>
  <si>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</si>
  <si>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</si>
  <si>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</si>
  <si>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</si>
  <si>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</si>
  <si>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</si>
  <si>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</si>
  <si>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</si>
  <si>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</si>
  <si>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</si>
  <si>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</si>
  <si>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</si>
  <si>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</si>
  <si>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</si>
  <si>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</si>
  <si>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</si>
  <si>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</si>
  <si>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</si>
  <si>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</si>
  <si>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</si>
  <si>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</si>
  <si>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</si>
  <si>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</si>
  <si>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</si>
  <si>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</si>
  <si>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</si>
  <si>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</si>
  <si>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</si>
  <si>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</si>
  <si>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</si>
  <si>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</si>
  <si>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</si>
  <si>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</si>
  <si>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</si>
  <si>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</si>
  <si>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</si>
  <si>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</si>
  <si>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</si>
  <si>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</si>
  <si>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</si>
  <si>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</si>
  <si>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</si>
  <si>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</si>
  <si>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</si>
  <si>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</si>
  <si>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</si>
  <si>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</si>
  <si>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</si>
  <si>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</si>
  <si>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</si>
  <si>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</si>
  <si>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</si>
  <si>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</si>
  <si>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</si>
  <si>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</si>
  <si>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</si>
  <si>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</si>
  <si>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</si>
  <si>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</si>
  <si>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</si>
  <si>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</si>
  <si>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</si>
  <si>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</si>
  <si>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</si>
  <si>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</si>
  <si>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</si>
  <si>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</si>
  <si>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</si>
  <si>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</si>
  <si>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</si>
  <si>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</si>
  <si>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</si>
  <si>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</si>
  <si>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</si>
  <si>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</si>
  <si>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</si>
  <si>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</si>
  <si>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</si>
  <si>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</si>
  <si>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</si>
  <si>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</si>
  <si>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</si>
  <si>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</si>
  <si>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</si>
  <si>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</si>
  <si>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</si>
  <si>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</si>
  <si>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</si>
  <si>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</si>
  <si>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</si>
  <si>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</si>
  <si>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</si>
  <si>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</si>
  <si>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</si>
  <si>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</si>
  <si>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</si>
  <si>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</si>
  <si>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</si>
  <si>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</si>
  <si>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</si>
  <si>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</si>
  <si>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</si>
  <si>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</si>
  <si>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</si>
  <si>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</si>
  <si>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</si>
  <si>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</si>
  <si>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</si>
  <si>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</si>
  <si>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</si>
  <si>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</si>
  <si>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</si>
  <si>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</si>
  <si>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</si>
  <si>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</si>
  <si>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</si>
  <si>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</si>
  <si>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</si>
  <si>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</si>
  <si>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</si>
  <si>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</si>
  <si>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</si>
  <si>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</si>
  <si>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</si>
  <si>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</si>
  <si>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</si>
  <si>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</si>
  <si>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</si>
  <si>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</si>
  <si>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</si>
  <si>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</si>
  <si>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</si>
  <si>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</si>
  <si>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</si>
  <si>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</si>
  <si>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</si>
  <si>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</si>
  <si>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</si>
  <si>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</si>
  <si>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</si>
  <si>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</si>
  <si>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</si>
  <si>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</si>
  <si>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</si>
  <si>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</si>
  <si>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</si>
  <si>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</si>
  <si>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</si>
  <si>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</si>
  <si>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</si>
  <si>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</si>
  <si>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</si>
  <si>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</si>
  <si>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</si>
  <si>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</si>
  <si>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</si>
  <si>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</si>
  <si>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</si>
  <si>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</si>
  <si>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</si>
  <si>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</si>
  <si>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</si>
  <si>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</si>
  <si>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</si>
  <si>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</si>
  <si>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</si>
  <si>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</si>
  <si>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</si>
  <si>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</si>
  <si>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</si>
  <si>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</si>
  <si>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</si>
  <si>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</si>
  <si>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</si>
  <si>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</si>
  <si>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</si>
  <si>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</si>
  <si>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</si>
  <si>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</si>
  <si>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</si>
  <si>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</si>
  <si>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</si>
  <si>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</si>
  <si>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</si>
  <si>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</si>
  <si>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</si>
  <si>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</si>
  <si>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</si>
  <si>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</si>
  <si>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</si>
  <si>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</si>
  <si>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</si>
  <si>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</si>
  <si>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</si>
  <si>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</si>
  <si>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</si>
  <si>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</si>
  <si>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</si>
  <si>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</si>
  <si>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</si>
  <si>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</si>
  <si>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</si>
  <si>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</si>
  <si>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</si>
  <si>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</si>
  <si>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</si>
  <si>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</si>
  <si>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</si>
  <si>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</si>
  <si>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</si>
  <si>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</si>
  <si>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</si>
  <si>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</si>
  <si>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</si>
  <si>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</si>
  <si>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</si>
  <si>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</si>
  <si>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</si>
  <si>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</si>
  <si>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</si>
  <si>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</si>
  <si>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</si>
  <si>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</si>
  <si>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</si>
  <si>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</si>
  <si>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</si>
  <si>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</si>
  <si>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</si>
  <si>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</si>
  <si>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</si>
  <si>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</si>
  <si>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</si>
  <si>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</si>
  <si>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</si>
  <si>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</si>
  <si>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</si>
  <si>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</si>
  <si>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</si>
  <si>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</si>
  <si>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</si>
  <si>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</si>
  <si>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</si>
  <si>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</si>
  <si>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</si>
  <si>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</si>
  <si>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</si>
  <si>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</si>
  <si>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</si>
  <si>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</si>
  <si>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</si>
  <si>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</si>
  <si>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</si>
  <si>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</si>
  <si>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</si>
  <si>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</si>
  <si>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</si>
  <si>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</si>
  <si>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</si>
  <si>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</si>
  <si>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</si>
  <si>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</si>
  <si>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</si>
  <si>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</si>
  <si>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</si>
  <si>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</si>
  <si>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</si>
  <si>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</si>
  <si>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</si>
  <si>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</si>
  <si>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</si>
  <si>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</si>
  <si>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</si>
  <si>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</si>
  <si>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</si>
  <si>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</si>
  <si>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</si>
  <si>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</si>
  <si>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</si>
  <si>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</si>
  <si>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</si>
  <si>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</si>
  <si>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</si>
  <si>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</si>
  <si>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</si>
  <si>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</si>
  <si>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</si>
  <si>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</si>
  <si>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</si>
  <si>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</si>
  <si>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</si>
  <si>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</si>
  <si>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</si>
  <si>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</si>
  <si>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</si>
  <si>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</si>
  <si>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</si>
  <si>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</si>
  <si>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</si>
  <si>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</si>
  <si>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</si>
  <si>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</si>
  <si>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</si>
  <si>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</si>
  <si>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</si>
  <si>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</si>
  <si>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</si>
  <si>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</si>
  <si>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</si>
  <si>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</si>
  <si>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</si>
  <si>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</si>
  <si>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</si>
  <si>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</si>
  <si>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</si>
  <si>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</si>
  <si>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</si>
  <si>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</si>
  <si>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</si>
  <si>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</si>
  <si>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</si>
  <si>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</si>
  <si>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</si>
  <si>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</si>
  <si>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</si>
  <si>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</si>
  <si>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</si>
  <si>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</si>
  <si>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</si>
  <si>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</si>
  <si>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</si>
  <si>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</si>
  <si>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</si>
  <si>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</si>
  <si>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</si>
  <si>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</si>
  <si>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</si>
  <si>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</si>
  <si>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</si>
  <si>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</si>
  <si>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</si>
  <si>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</si>
  <si>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</si>
  <si>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</si>
  <si>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</si>
  <si>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</si>
  <si>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</si>
  <si>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</si>
  <si>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</si>
  <si>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</si>
  <si>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</si>
  <si>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</si>
  <si>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</si>
  <si>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</si>
  <si>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</si>
  <si>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</si>
  <si>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</si>
  <si>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</si>
  <si>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</si>
  <si>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</si>
  <si>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</si>
  <si>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</si>
  <si>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</si>
  <si>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</si>
  <si>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</si>
  <si>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</si>
  <si>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</si>
  <si>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</si>
  <si>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</si>
  <si>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</si>
  <si>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</si>
  <si>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</si>
  <si>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</si>
  <si>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</si>
  <si>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</si>
  <si>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</si>
  <si>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</si>
  <si>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</si>
  <si>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</si>
  <si>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</si>
  <si>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</si>
  <si>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</si>
  <si>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</si>
  <si>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</si>
  <si>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</si>
  <si>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</si>
  <si>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</si>
  <si>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</si>
  <si>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</si>
  <si>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</si>
  <si>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</si>
  <si>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</si>
  <si>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</si>
  <si>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</si>
  <si>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</si>
  <si>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</si>
  <si>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</si>
  <si>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</si>
  <si>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</si>
  <si>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</si>
  <si>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</si>
  <si>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</si>
  <si>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</si>
  <si>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</si>
  <si>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</si>
  <si>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</si>
  <si>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</si>
  <si>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</si>
  <si>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</si>
  <si>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</si>
  <si>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</si>
  <si>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</si>
  <si>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</si>
  <si>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</si>
  <si>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</si>
  <si>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</si>
  <si>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</si>
  <si>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</si>
  <si>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</si>
  <si>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</si>
  <si>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</si>
  <si>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</si>
  <si>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</si>
  <si>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</si>
  <si>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</si>
  <si>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</si>
  <si>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</si>
  <si>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</si>
  <si>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</si>
  <si>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</si>
  <si>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</si>
  <si>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</si>
  <si>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</si>
  <si>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</si>
  <si>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</si>
  <si>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</si>
  <si>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</si>
  <si>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</si>
  <si>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</si>
  <si>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</si>
  <si>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</si>
  <si>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</si>
  <si>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</si>
  <si>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</si>
  <si>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</si>
  <si>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</si>
  <si>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</si>
  <si>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</si>
  <si>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</si>
  <si>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</si>
  <si>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</si>
  <si>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</si>
  <si>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</si>
  <si>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</si>
  <si>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</si>
  <si>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</si>
  <si>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</si>
  <si>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</si>
  <si>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</si>
  <si>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</si>
  <si>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</si>
  <si>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</si>
  <si>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</si>
  <si>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</si>
  <si>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</si>
  <si>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</si>
  <si>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</si>
  <si>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</si>
  <si>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</si>
  <si>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</si>
  <si>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</si>
  <si>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</si>
  <si>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</si>
  <si>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</si>
  <si>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</si>
  <si>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</si>
  <si>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</si>
  <si>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</si>
  <si>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</si>
  <si>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</si>
  <si>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</si>
  <si>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</si>
  <si>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</si>
  <si>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</si>
  <si>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</si>
  <si>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</si>
  <si>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</si>
  <si>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</si>
  <si>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</si>
  <si>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</si>
  <si>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</si>
  <si>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</si>
  <si>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</si>
  <si>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</si>
  <si>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</si>
  <si>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</si>
  <si>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</si>
  <si>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</si>
  <si>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</si>
  <si>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</si>
  <si>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</si>
  <si>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</si>
  <si>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</si>
  <si>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</si>
  <si>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</si>
  <si>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</si>
  <si>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</si>
  <si>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</si>
  <si>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</si>
  <si>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</si>
  <si>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</si>
  <si>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</si>
  <si>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</si>
  <si>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</si>
  <si>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</si>
  <si>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</si>
  <si>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</si>
  <si>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</si>
  <si>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</si>
  <si>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</si>
  <si>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</si>
  <si>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</si>
  <si>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</si>
  <si>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</si>
  <si>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</si>
  <si>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</si>
  <si>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</si>
  <si>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</si>
  <si>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</si>
  <si>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</si>
  <si>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</si>
  <si>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</si>
  <si>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</si>
  <si>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</si>
  <si>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</si>
  <si>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</si>
  <si>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</si>
  <si>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</si>
  <si>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</si>
  <si>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</si>
  <si>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</si>
  <si>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</si>
  <si>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</si>
  <si>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</si>
  <si>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</si>
  <si>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</si>
  <si>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</si>
  <si>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</si>
  <si>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</si>
  <si>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</si>
  <si>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</si>
  <si>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</si>
  <si>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</si>
  <si>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</si>
  <si>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</si>
  <si>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</si>
  <si>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</si>
  <si>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</si>
  <si>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</si>
  <si>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</si>
  <si>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</si>
  <si>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</si>
  <si>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</si>
  <si>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</si>
  <si>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</si>
  <si>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</si>
  <si>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</si>
  <si>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</si>
  <si>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</si>
  <si>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</si>
  <si>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</si>
  <si>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</si>
  <si>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</si>
  <si>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</si>
  <si>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</si>
  <si>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</si>
  <si>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</si>
  <si>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</si>
  <si>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</si>
  <si>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</si>
  <si>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</si>
  <si>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</si>
  <si>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</si>
  <si>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</si>
  <si>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</si>
  <si>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</si>
  <si>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</si>
  <si>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</si>
  <si>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</si>
  <si>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</si>
  <si>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</si>
  <si>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</si>
  <si>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</si>
  <si>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</si>
  <si>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</si>
  <si>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</si>
  <si>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</si>
  <si>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</si>
  <si>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</si>
  <si>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</si>
  <si>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</si>
  <si>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</si>
  <si>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</si>
  <si>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</si>
  <si>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</si>
  <si>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</si>
  <si>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</si>
  <si>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</si>
  <si>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</si>
  <si>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</si>
  <si>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</si>
  <si>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</si>
  <si>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</si>
  <si>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</si>
  <si>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</si>
  <si>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</si>
  <si>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</si>
  <si>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</si>
  <si>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</si>
  <si>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</si>
  <si>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</si>
  <si>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</si>
  <si>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</si>
  <si>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</si>
  <si>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</si>
  <si>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</si>
  <si>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</si>
  <si>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</si>
  <si>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</si>
  <si>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</si>
  <si>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</si>
  <si>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</si>
  <si>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</si>
  <si>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</si>
  <si>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</si>
  <si>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</si>
  <si>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</si>
  <si>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</si>
  <si>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</si>
  <si>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</si>
  <si>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</si>
  <si>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</si>
  <si>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</si>
  <si>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</si>
  <si>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</si>
  <si>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</si>
  <si>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</si>
  <si>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</si>
  <si>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</si>
  <si>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</si>
  <si>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</si>
  <si>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</si>
  <si>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</si>
  <si>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</si>
  <si>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</si>
  <si>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</si>
  <si>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</si>
  <si>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</si>
  <si>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</si>
  <si>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</si>
  <si>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</si>
  <si>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</si>
  <si>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</si>
  <si>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</si>
  <si>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</si>
  <si>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</si>
  <si>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</si>
  <si>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</si>
  <si>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</si>
  <si>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</si>
  <si>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</si>
  <si>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</si>
  <si>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</si>
  <si>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</si>
  <si>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</si>
  <si>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</si>
  <si>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</si>
  <si>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</si>
  <si>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</si>
  <si>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</si>
  <si>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</si>
  <si>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</si>
  <si>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</si>
  <si>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</si>
  <si>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</si>
  <si>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</si>
  <si>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</si>
  <si>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</si>
  <si>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</si>
  <si>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</si>
  <si>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</si>
  <si>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</si>
  <si>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</si>
  <si>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</si>
  <si>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</si>
  <si>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</si>
  <si>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</si>
  <si>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</si>
  <si>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</si>
  <si>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</si>
  <si>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</si>
  <si>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</si>
  <si>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</si>
  <si>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</si>
  <si>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</si>
  <si>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</si>
  <si>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</si>
  <si>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</si>
  <si>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</si>
  <si>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</si>
  <si>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</si>
  <si>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</si>
  <si>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</si>
  <si>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</si>
  <si>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</si>
  <si>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</si>
  <si>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</si>
  <si>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</si>
  <si>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</si>
  <si>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</si>
  <si>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</si>
  <si>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</si>
  <si>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</si>
  <si>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</si>
  <si>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</si>
  <si>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</si>
  <si>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</si>
  <si>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</si>
  <si>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</si>
  <si>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</si>
  <si>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</si>
  <si>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</si>
  <si>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</si>
  <si>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</si>
  <si>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</si>
  <si>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</si>
  <si>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</si>
  <si>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</si>
  <si>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</si>
  <si>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</si>
  <si>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</si>
  <si>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</si>
  <si>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</si>
  <si>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</si>
  <si>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</si>
  <si>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</si>
  <si>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</si>
  <si>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</si>
  <si>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</si>
  <si>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</si>
  <si>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</si>
  <si>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</si>
  <si>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</si>
  <si>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</si>
  <si>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</si>
  <si>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</si>
  <si>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</si>
  <si>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</si>
  <si>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</si>
  <si>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</si>
  <si>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</si>
  <si>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</si>
  <si>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</si>
  <si>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</si>
  <si>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</si>
  <si>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</si>
  <si>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</si>
  <si>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</si>
  <si>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</si>
  <si>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</si>
  <si>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</si>
  <si>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</si>
  <si>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</si>
  <si>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</si>
  <si>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</si>
  <si>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</si>
  <si>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</si>
  <si>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</si>
  <si>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</si>
  <si>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</si>
  <si>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</si>
  <si>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</si>
  <si>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</si>
  <si>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</si>
  <si>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</si>
  <si>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</si>
  <si>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</si>
  <si>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</si>
  <si>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</si>
  <si>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</si>
  <si>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</si>
  <si>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</si>
  <si>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</si>
  <si>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</si>
  <si>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</si>
  <si>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</si>
  <si>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</si>
  <si>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</si>
  <si>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</si>
  <si>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</si>
  <si>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</si>
  <si>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</si>
  <si>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</si>
  <si>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</si>
  <si>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</si>
  <si>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</si>
  <si>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</si>
  <si>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</si>
  <si>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</si>
  <si>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</si>
  <si>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</si>
  <si>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</si>
  <si>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</si>
  <si>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</si>
  <si>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</si>
  <si>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</si>
  <si>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</si>
  <si>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</si>
  <si>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</si>
  <si>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</si>
  <si>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</si>
  <si>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</si>
  <si>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</si>
  <si>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</si>
  <si>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</si>
  <si>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</si>
  <si>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</si>
  <si>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</si>
  <si>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</si>
  <si>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</si>
  <si>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</si>
  <si>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</si>
  <si>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</si>
  <si>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</si>
  <si>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</si>
  <si>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</si>
  <si>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</si>
  <si>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</si>
  <si>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</si>
  <si>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</si>
  <si>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</si>
  <si>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</si>
  <si>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</si>
  <si>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</si>
  <si>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</si>
  <si>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</si>
  <si>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</si>
  <si>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</si>
  <si>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</si>
  <si>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</si>
  <si>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</si>
  <si>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</si>
  <si>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</si>
  <si>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</si>
  <si>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</si>
  <si>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</si>
  <si>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</si>
  <si>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</si>
  <si>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</si>
  <si>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</si>
  <si>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</si>
  <si>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</si>
  <si>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</si>
  <si>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</si>
  <si>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</si>
  <si>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</si>
  <si>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</si>
  <si>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</si>
  <si>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</si>
  <si>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</si>
  <si>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</si>
  <si>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</si>
  <si>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</si>
  <si>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</si>
  <si>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</si>
  <si>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</si>
  <si>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</si>
  <si>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</si>
  <si>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</si>
  <si>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</si>
  <si>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</si>
  <si>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</si>
  <si>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</si>
  <si>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</si>
  <si>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</si>
  <si>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</si>
  <si>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</si>
  <si>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</si>
  <si>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</si>
  <si>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</si>
  <si>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</si>
  <si>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</si>
  <si>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</si>
  <si>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</si>
  <si>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</si>
  <si>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</si>
  <si>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</si>
  <si>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</si>
  <si>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</si>
  <si>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</si>
  <si>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</si>
  <si>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</si>
  <si>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</si>
  <si>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</si>
  <si>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</si>
  <si>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</si>
  <si>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</si>
  <si>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</si>
  <si>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</si>
  <si>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</si>
  <si>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</si>
  <si>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</si>
  <si>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</si>
  <si>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</si>
  <si>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</si>
  <si>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</si>
  <si>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</si>
  <si>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</si>
  <si>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</si>
  <si>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</si>
  <si>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</si>
  <si>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</si>
  <si>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</si>
  <si>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</si>
  <si>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</si>
  <si>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</si>
  <si>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</si>
  <si>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</si>
  <si>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</si>
  <si>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</si>
  <si>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</si>
  <si>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</si>
  <si>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</si>
  <si>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</si>
  <si>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</si>
  <si>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</si>
  <si>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</si>
  <si>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</si>
  <si>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</si>
  <si>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</si>
  <si>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</si>
  <si>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</si>
  <si>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</si>
  <si>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</si>
  <si>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</si>
  <si>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</si>
  <si>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</si>
  <si>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</si>
  <si>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</si>
  <si>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</si>
  <si>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</si>
  <si>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</si>
  <si>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</si>
  <si>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</si>
  <si>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</si>
  <si>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</si>
  <si>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</si>
  <si>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</si>
  <si>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</si>
  <si>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</si>
  <si>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</si>
  <si>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</si>
  <si>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</si>
  <si>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</si>
  <si>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</si>
  <si>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</si>
  <si>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</si>
  <si>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</si>
  <si>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</si>
  <si>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</si>
  <si>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</si>
  <si>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</si>
  <si>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</si>
  <si>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</si>
  <si>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</si>
  <si>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</si>
  <si>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</si>
  <si>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</si>
  <si>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</si>
  <si>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</si>
  <si>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</si>
  <si>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</si>
  <si>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</si>
  <si>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</si>
  <si>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</si>
  <si>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</si>
  <si>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</si>
  <si>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</si>
  <si>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</si>
  <si>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</si>
  <si>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</si>
  <si>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</si>
  <si>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</si>
  <si>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</si>
  <si>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</si>
  <si>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</si>
  <si>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</si>
  <si>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</si>
  <si>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</si>
  <si>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</si>
  <si>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</si>
  <si>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</si>
  <si>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</si>
  <si>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</si>
  <si>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</si>
  <si>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</si>
  <si>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</si>
  <si>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</si>
  <si>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</si>
  <si>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</si>
  <si>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</si>
  <si>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</si>
  <si>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</si>
  <si>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</si>
  <si>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</si>
  <si>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</si>
  <si>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</si>
  <si>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</si>
  <si>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</si>
  <si>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</si>
  <si>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</si>
  <si>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</si>
  <si>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</si>
  <si>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</si>
  <si>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</si>
  <si>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</si>
  <si>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</si>
  <si>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</si>
  <si>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</si>
  <si>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</si>
  <si>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</si>
  <si>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</si>
  <si>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</si>
  <si>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</si>
  <si>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</si>
  <si>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</si>
  <si>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</si>
  <si>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</si>
  <si>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</si>
  <si>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</si>
  <si>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</si>
  <si>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</si>
  <si>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</si>
  <si>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</si>
  <si>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</si>
  <si>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</si>
  <si>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</si>
  <si>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</si>
  <si>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</si>
  <si>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</si>
  <si>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</si>
  <si>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</si>
  <si>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</si>
  <si>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</si>
  <si>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</si>
  <si>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</si>
  <si>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</si>
  <si>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</si>
  <si>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</si>
  <si>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</si>
  <si>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</si>
  <si>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</si>
  <si>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</si>
  <si>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</si>
  <si>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</si>
  <si>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</si>
  <si>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</si>
  <si>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</si>
  <si>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</si>
  <si>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</si>
  <si>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</si>
  <si>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</si>
  <si>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</si>
  <si>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</si>
  <si>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</si>
  <si>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</si>
  <si>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</si>
  <si>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</si>
  <si>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</si>
  <si>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</si>
  <si>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</si>
  <si>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</si>
  <si>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</si>
  <si>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</si>
  <si>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</si>
  <si>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</si>
  <si>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</si>
  <si>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</si>
  <si>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</si>
  <si>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</si>
  <si>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</si>
  <si>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</si>
  <si>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</si>
  <si>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</si>
  <si>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</si>
  <si>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</si>
  <si>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</si>
  <si>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</si>
  <si>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</si>
  <si>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</si>
  <si>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</si>
  <si>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</si>
  <si>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</si>
  <si>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</si>
  <si>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</si>
  <si>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</si>
  <si>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</si>
  <si>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</si>
  <si>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</si>
  <si>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</si>
  <si>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</si>
  <si>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</si>
  <si>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</si>
  <si>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</si>
  <si>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</si>
  <si>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</si>
  <si>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</si>
  <si>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</si>
  <si>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</si>
  <si>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</si>
  <si>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</si>
  <si>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</si>
  <si>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</si>
  <si>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</si>
  <si>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</si>
  <si>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</si>
  <si>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</si>
  <si>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</si>
  <si>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</si>
  <si>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</si>
  <si>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</si>
  <si>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</si>
  <si>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</si>
  <si>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</si>
  <si>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</si>
  <si>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</si>
  <si>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</si>
  <si>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</si>
  <si>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</si>
  <si>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</si>
  <si>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</si>
  <si>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</si>
  <si>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</si>
  <si>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</si>
  <si>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</si>
  <si>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</si>
  <si>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</si>
  <si>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</si>
  <si>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</si>
  <si>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</si>
  <si>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</si>
  <si>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</si>
  <si>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</si>
  <si>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</si>
  <si>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</si>
  <si>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</si>
  <si>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</si>
  <si>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</si>
  <si>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</si>
  <si>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</si>
  <si>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</si>
  <si>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</si>
  <si>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</si>
  <si>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</si>
  <si>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</si>
  <si>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</si>
  <si>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</si>
  <si>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</si>
  <si>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</si>
  <si>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</si>
  <si>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</si>
  <si>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</si>
  <si>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</si>
  <si>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</si>
  <si>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</si>
  <si>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</si>
  <si>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</si>
  <si>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</si>
  <si>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</si>
  <si>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</si>
  <si>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</si>
  <si>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</si>
  <si>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</si>
  <si>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</si>
  <si>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</si>
  <si>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</si>
  <si>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</si>
  <si>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</si>
  <si>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</si>
  <si>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</si>
  <si>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</si>
  <si>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</si>
  <si>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</si>
  <si>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</si>
  <si>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</si>
  <si>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</si>
  <si>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</si>
  <si>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</si>
  <si>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</si>
  <si>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</si>
  <si>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</si>
  <si>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</si>
  <si>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</si>
  <si>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</si>
  <si>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</si>
  <si>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</si>
  <si>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</si>
  <si>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</si>
  <si>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</si>
  <si>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</si>
  <si>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</si>
  <si>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</si>
  <si>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</si>
  <si>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</si>
  <si>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</si>
  <si>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</si>
  <si>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</si>
  <si>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</si>
  <si>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</si>
  <si>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</si>
  <si>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</si>
  <si>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</si>
  <si>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</si>
  <si>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</si>
  <si>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</si>
  <si>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</si>
  <si>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</si>
  <si>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</si>
  <si>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</si>
  <si>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</si>
  <si>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</si>
  <si>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</si>
  <si>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</si>
  <si>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</si>
  <si>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</si>
  <si>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</si>
  <si>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</si>
  <si>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</si>
  <si>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</si>
  <si>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</si>
  <si>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</si>
  <si>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</si>
  <si>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</si>
  <si>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</si>
  <si>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</si>
  <si>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</si>
  <si>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</si>
  <si>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</si>
  <si>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</si>
  <si>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</si>
  <si>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</si>
  <si>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</si>
  <si>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</si>
  <si>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</si>
  <si>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</si>
  <si>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</si>
  <si>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</si>
  <si>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</si>
  <si>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</si>
  <si>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</si>
  <si>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</si>
  <si>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</si>
  <si>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</si>
  <si>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</si>
  <si>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</si>
  <si>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</si>
  <si>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</si>
  <si>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</si>
  <si>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</si>
  <si>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</si>
  <si>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</si>
  <si>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</si>
  <si>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</si>
  <si>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</si>
  <si>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</si>
  <si>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</si>
  <si>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</si>
  <si>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</si>
  <si>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</si>
  <si>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</si>
  <si>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</si>
  <si>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</si>
  <si>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</si>
  <si>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</si>
  <si>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</si>
  <si>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</si>
  <si>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</si>
  <si>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</si>
  <si>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</si>
  <si>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</si>
  <si>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</si>
  <si>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</si>
  <si>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</si>
  <si>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</si>
  <si>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</si>
  <si>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</si>
  <si>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</si>
  <si>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</si>
  <si>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</si>
  <si>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</si>
  <si>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</si>
  <si>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</si>
  <si>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</si>
  <si>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</si>
  <si>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</si>
  <si>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</si>
  <si>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</si>
  <si>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</si>
  <si>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</si>
  <si>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</si>
  <si>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</si>
  <si>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</si>
  <si>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</si>
  <si>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</si>
  <si>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</si>
  <si>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</si>
  <si>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</si>
  <si>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</si>
  <si>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</si>
  <si>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</si>
  <si>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</si>
  <si>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</si>
  <si>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</si>
  <si>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</si>
  <si>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</si>
  <si>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</si>
  <si>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</si>
  <si>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</si>
  <si>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</si>
  <si>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</si>
  <si>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</si>
  <si>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</si>
  <si>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</si>
  <si>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</si>
  <si>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</si>
  <si>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</si>
  <si>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</si>
  <si>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</si>
  <si>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</si>
  <si>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</si>
  <si>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</si>
  <si>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</si>
  <si>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</si>
  <si>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</si>
  <si>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</si>
  <si>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</si>
  <si>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</si>
  <si>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</si>
  <si>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</si>
  <si>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</si>
  <si>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</si>
  <si>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</si>
  <si>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</si>
  <si>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</si>
  <si>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</si>
  <si>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</si>
  <si>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</si>
  <si>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</si>
  <si>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</si>
  <si>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</si>
  <si>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</si>
  <si>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</si>
  <si>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</si>
  <si>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</si>
  <si>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</si>
  <si>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</si>
  <si>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</si>
  <si>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</si>
  <si>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</si>
  <si>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</si>
  <si>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</si>
  <si>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</si>
  <si>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</si>
  <si>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</si>
  <si>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</si>
  <si>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</si>
  <si>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</si>
  <si>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</si>
  <si>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</si>
  <si>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</si>
  <si>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</si>
  <si>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</si>
  <si>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</si>
  <si>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</si>
  <si>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</si>
  <si>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</si>
  <si>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</si>
  <si>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</si>
  <si>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</si>
  <si>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</si>
  <si>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</si>
  <si>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</si>
  <si>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</si>
  <si>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</si>
  <si>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</si>
  <si>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</si>
  <si>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</si>
  <si>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</si>
  <si>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</si>
  <si>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</si>
  <si>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</si>
  <si>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</si>
  <si>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</si>
  <si>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</si>
  <si>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</si>
  <si>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</si>
  <si>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</si>
  <si>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</si>
  <si>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</si>
  <si>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</si>
  <si>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</si>
  <si>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</si>
  <si>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</si>
  <si>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</si>
  <si>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</si>
  <si>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</si>
  <si>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</si>
  <si>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</si>
  <si>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</si>
  <si>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</si>
  <si>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</si>
  <si>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</si>
  <si>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</si>
  <si>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</si>
  <si>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</si>
  <si>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</si>
  <si>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</si>
  <si>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</si>
  <si>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</si>
  <si>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</si>
  <si>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</si>
  <si>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</si>
  <si>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</si>
  <si>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</si>
  <si>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</si>
  <si>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</si>
  <si>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</si>
  <si>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</si>
  <si>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</si>
  <si>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</si>
  <si>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</si>
  <si>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</si>
  <si>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</si>
  <si>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</si>
  <si>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</si>
  <si>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</si>
  <si>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</si>
  <si>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</si>
  <si>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</si>
  <si>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</si>
  <si>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</si>
  <si>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</si>
  <si>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</si>
  <si>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</si>
  <si>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</si>
  <si>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</si>
  <si>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</si>
  <si>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</si>
  <si>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</si>
  <si>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</si>
  <si>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</si>
  <si>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</si>
  <si>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</si>
  <si>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</si>
  <si>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</si>
  <si>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</si>
  <si>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</si>
  <si>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</si>
  <si>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</si>
  <si>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</si>
  <si>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</si>
  <si>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</si>
  <si>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</si>
  <si>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</si>
  <si>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</si>
  <si>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</si>
  <si>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</si>
  <si>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</si>
  <si>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</si>
  <si>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</si>
  <si>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</si>
  <si>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</si>
  <si>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</si>
  <si>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</si>
  <si>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</si>
  <si>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</si>
  <si>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</si>
  <si>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</si>
  <si>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</si>
  <si>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</si>
  <si>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</si>
  <si>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</si>
  <si>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</si>
  <si>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</si>
  <si>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</si>
  <si>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</si>
  <si>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</si>
  <si>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</si>
  <si>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</si>
  <si>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</si>
  <si>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</si>
  <si>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</si>
  <si>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</si>
  <si>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</si>
  <si>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</si>
  <si>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</si>
  <si>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</si>
  <si>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</si>
  <si>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</si>
  <si>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</si>
  <si>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</si>
  <si>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</si>
  <si>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</si>
  <si>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</si>
  <si>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</si>
  <si>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</si>
  <si>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</si>
  <si>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</si>
  <si>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</si>
  <si>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</si>
  <si>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</si>
  <si>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</si>
  <si>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</si>
  <si>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</si>
  <si>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</si>
  <si>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</si>
  <si>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</si>
  <si>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</si>
  <si>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</si>
  <si>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</si>
  <si>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</si>
  <si>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</si>
  <si>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</si>
  <si>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</si>
  <si>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</si>
  <si>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</si>
  <si>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</si>
  <si>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</si>
  <si>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</si>
  <si>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</si>
  <si>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</si>
  <si>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</si>
  <si>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</si>
  <si>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</si>
  <si>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</si>
  <si>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</si>
  <si>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</si>
  <si>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</si>
  <si>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</si>
  <si>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</si>
  <si>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</si>
  <si>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</si>
  <si>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</si>
  <si>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</si>
  <si>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</si>
  <si>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</si>
  <si>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</si>
  <si>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</si>
  <si>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</si>
  <si>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</si>
  <si>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</si>
  <si>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</si>
  <si>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</si>
  <si>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</si>
  <si>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</si>
  <si>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</si>
  <si>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</si>
  <si>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</si>
  <si>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</si>
  <si>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</si>
  <si>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</si>
  <si>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</si>
  <si>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</si>
  <si>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</si>
  <si>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</si>
  <si>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</si>
  <si>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</si>
  <si>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</si>
  <si>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</si>
  <si>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</si>
  <si>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</si>
  <si>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</si>
  <si>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</si>
  <si>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</si>
  <si>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</si>
  <si>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</si>
  <si>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</si>
  <si>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</si>
  <si>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</si>
  <si>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</si>
  <si>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</si>
  <si>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</si>
  <si>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</si>
  <si>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</si>
  <si>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</si>
  <si>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</si>
  <si>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</si>
  <si>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</si>
  <si>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</si>
  <si>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</si>
  <si>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</si>
  <si>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</si>
  <si>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</si>
  <si>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</si>
  <si>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</si>
  <si>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</si>
  <si>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</si>
  <si>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</si>
  <si>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</si>
  <si>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</si>
  <si>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</si>
  <si>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</si>
  <si>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</si>
  <si>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</si>
  <si>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</si>
  <si>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</si>
  <si>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</si>
  <si>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</si>
  <si>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</si>
  <si>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</si>
  <si>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</si>
  <si>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</si>
  <si>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</si>
  <si>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</si>
  <si>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</si>
  <si>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</si>
  <si>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</si>
  <si>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</si>
  <si>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</si>
  <si>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</si>
  <si>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</si>
  <si>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</si>
  <si>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</si>
  <si>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</si>
  <si>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</si>
  <si>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</si>
  <si>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</si>
  <si>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</si>
  <si>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</si>
  <si>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</si>
  <si>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</si>
  <si>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</si>
  <si>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</si>
  <si>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</si>
  <si>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</si>
  <si>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</si>
  <si>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</si>
  <si>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</si>
  <si>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</si>
  <si>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</si>
  <si>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</si>
  <si>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</si>
  <si>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</si>
  <si>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</si>
  <si>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</si>
  <si>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</si>
  <si>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</si>
  <si>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</si>
  <si>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</si>
  <si>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</si>
  <si>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</si>
  <si>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</si>
  <si>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</si>
  <si>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</si>
  <si>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</si>
  <si>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</si>
  <si>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</si>
  <si>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</si>
  <si>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</si>
  <si>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</si>
  <si>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</si>
  <si>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</si>
  <si>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</si>
  <si>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</si>
  <si>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</si>
  <si>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</si>
  <si>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</si>
  <si>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</si>
  <si>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</si>
  <si>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</si>
  <si>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</si>
  <si>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</si>
  <si>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</si>
  <si>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</si>
  <si>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</si>
  <si>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</si>
  <si>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</si>
  <si>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</si>
  <si>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</si>
  <si>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</si>
  <si>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</si>
  <si>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</si>
  <si>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</si>
  <si>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</si>
  <si>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</si>
  <si>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</si>
  <si>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</si>
  <si>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</si>
  <si>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</si>
  <si>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</si>
  <si>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</si>
  <si>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</si>
  <si>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</si>
  <si>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</si>
  <si>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</si>
  <si>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</si>
  <si>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</si>
  <si>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</si>
  <si>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</si>
  <si>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</si>
  <si>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</si>
  <si>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</si>
  <si>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</si>
  <si>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</si>
  <si>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</si>
  <si>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</si>
  <si>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</si>
  <si>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</si>
  <si>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</si>
  <si>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</si>
  <si>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</si>
  <si>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</si>
  <si>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</si>
  <si>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</si>
  <si>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</si>
  <si>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</si>
  <si>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</si>
  <si>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</si>
  <si>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</si>
  <si>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</si>
  <si>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</si>
  <si>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</si>
  <si>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</si>
  <si>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</si>
  <si>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</si>
  <si>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</si>
  <si>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</si>
  <si>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</si>
  <si>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</si>
  <si>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</si>
  <si>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</si>
  <si>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</si>
  <si>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</si>
  <si>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</si>
  <si>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</si>
  <si>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</si>
  <si>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</si>
  <si>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</si>
  <si>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</si>
  <si>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</si>
  <si>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</si>
  <si>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</si>
  <si>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</si>
  <si>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</si>
  <si>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</si>
  <si>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</si>
  <si>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</si>
  <si>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</si>
  <si>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</si>
  <si>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</si>
  <si>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</si>
  <si>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</si>
  <si>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</si>
  <si>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</si>
  <si>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</si>
  <si>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</si>
  <si>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</si>
  <si>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</si>
  <si>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</si>
  <si>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</si>
  <si>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</si>
  <si>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</si>
  <si>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</si>
  <si>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</si>
  <si>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</si>
  <si>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</si>
  <si>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</si>
  <si>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</si>
  <si>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</si>
  <si>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</si>
  <si>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</si>
  <si>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</si>
  <si>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</si>
  <si>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</si>
  <si>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</si>
  <si>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</si>
  <si>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</si>
  <si>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</si>
  <si>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</si>
  <si>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</si>
  <si>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</si>
  <si>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</si>
  <si>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</si>
  <si>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</si>
  <si>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</si>
  <si>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</si>
  <si>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</si>
  <si>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</si>
  <si>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</si>
  <si>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</si>
  <si>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</si>
  <si>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</si>
  <si>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</si>
  <si>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</si>
  <si>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</si>
  <si>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</si>
  <si>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</si>
  <si>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</si>
  <si>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</si>
  <si>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</si>
  <si>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</si>
  <si>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</si>
  <si>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</si>
  <si>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</si>
  <si>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</si>
  <si>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</si>
  <si>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</si>
  <si>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</si>
  <si>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</si>
  <si>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</si>
  <si>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</si>
  <si>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</si>
  <si>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</si>
  <si>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</si>
  <si>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</si>
  <si>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</si>
  <si>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</si>
  <si>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</si>
  <si>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</si>
  <si>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</si>
  <si>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</si>
  <si>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</si>
  <si>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</si>
  <si>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</si>
  <si>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</si>
  <si>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</si>
  <si>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</si>
  <si>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</si>
  <si>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</si>
  <si>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</si>
  <si>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</si>
  <si>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</si>
  <si>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</si>
  <si>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</si>
  <si>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</si>
  <si>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</si>
  <si>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</si>
  <si>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</si>
  <si>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</si>
  <si>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</si>
  <si>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</si>
  <si>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</si>
  <si>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</si>
  <si>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</si>
  <si>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</si>
  <si>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</si>
  <si>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</si>
  <si>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</si>
  <si>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</si>
  <si>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</si>
  <si>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</si>
  <si>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</si>
  <si>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</si>
  <si>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</si>
  <si>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</si>
  <si>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</si>
  <si>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</si>
  <si>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</si>
  <si>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</si>
  <si>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</si>
  <si>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</si>
  <si>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</si>
  <si>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</si>
  <si>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</si>
  <si>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</si>
  <si>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</si>
  <si>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</si>
  <si>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</si>
  <si>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</si>
  <si>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</si>
  <si>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</si>
  <si>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</si>
  <si>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</si>
  <si>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</si>
  <si>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</si>
  <si>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</si>
  <si>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</si>
  <si>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</si>
  <si>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</si>
  <si>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</si>
  <si>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</si>
  <si>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</si>
  <si>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</si>
  <si>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</si>
  <si>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</si>
  <si>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</si>
  <si>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</si>
  <si>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</si>
  <si>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</si>
  <si>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</si>
  <si>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</si>
  <si>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</si>
  <si>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</si>
  <si>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</si>
  <si>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</si>
  <si>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</si>
  <si>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</si>
  <si>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</si>
  <si>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</si>
  <si>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</si>
  <si>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</si>
  <si>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</si>
  <si>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</si>
  <si>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</si>
  <si>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</si>
  <si>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</si>
  <si>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</si>
  <si>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</si>
  <si>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</si>
  <si>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</si>
  <si>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</si>
  <si>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</si>
  <si>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</si>
  <si>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</si>
  <si>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</si>
  <si>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</si>
  <si>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</si>
  <si>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</si>
  <si>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</si>
  <si>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</si>
  <si>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</si>
  <si>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</si>
  <si>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</si>
  <si>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</si>
  <si>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</si>
  <si>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</si>
  <si>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</si>
  <si>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</si>
  <si>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</si>
  <si>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</si>
  <si>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</si>
  <si>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</si>
  <si>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</si>
  <si>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</si>
  <si>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</si>
  <si>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</si>
  <si>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</si>
  <si>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</si>
  <si>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</si>
  <si>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</si>
  <si>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</si>
  <si>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</si>
  <si>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</si>
  <si>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</si>
  <si>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</si>
  <si>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</si>
  <si>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</si>
  <si>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</si>
  <si>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</si>
  <si>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</si>
  <si>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</si>
  <si>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</si>
  <si>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</si>
  <si>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</si>
  <si>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</si>
  <si>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</si>
  <si>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</si>
  <si>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</si>
  <si>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</si>
  <si>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</si>
  <si>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</si>
  <si>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</si>
  <si>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</si>
  <si>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</si>
  <si>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</si>
  <si>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</si>
  <si>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</si>
  <si>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</si>
  <si>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</si>
  <si>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</si>
  <si>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</si>
  <si>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</si>
  <si>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</si>
  <si>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</si>
  <si>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</si>
  <si>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</si>
  <si>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</si>
  <si>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</si>
  <si>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</si>
  <si>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</si>
  <si>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</si>
  <si>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</si>
  <si>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</si>
  <si>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</si>
  <si>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</si>
  <si>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</si>
  <si>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</si>
  <si>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</si>
  <si>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</si>
  <si>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</si>
  <si>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</si>
  <si>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</si>
  <si>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</si>
  <si>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</si>
  <si>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</si>
  <si>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</si>
  <si>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</si>
  <si>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</si>
  <si>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</si>
  <si>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</si>
  <si>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</si>
  <si>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</si>
  <si>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</si>
  <si>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</si>
  <si>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</si>
  <si>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</si>
  <si>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</si>
  <si>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</si>
  <si>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</si>
  <si>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</si>
  <si>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</si>
  <si>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</si>
  <si>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</si>
  <si>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</si>
  <si>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</si>
  <si>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</si>
  <si>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</si>
  <si>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</si>
  <si>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</si>
  <si>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</si>
  <si>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</si>
  <si>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</si>
  <si>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</si>
  <si>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</si>
  <si>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</si>
  <si>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</si>
  <si>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</si>
  <si>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</si>
  <si>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</si>
  <si>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</si>
  <si>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</si>
  <si>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</si>
  <si>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</si>
  <si>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</si>
  <si>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</si>
  <si>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</si>
  <si>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</si>
  <si>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</si>
  <si>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</si>
  <si>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</si>
  <si>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</si>
  <si>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</si>
  <si>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</si>
  <si>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</si>
  <si>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</si>
  <si>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</si>
  <si>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</si>
  <si>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</si>
  <si>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</si>
  <si>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</si>
  <si>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</si>
  <si>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</si>
  <si>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</si>
  <si>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</si>
  <si>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</si>
  <si>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</si>
  <si>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</si>
  <si>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</si>
  <si>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</si>
  <si>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</si>
  <si>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</si>
  <si>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</si>
  <si>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</si>
  <si>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</si>
  <si>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</si>
  <si>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</si>
  <si>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</si>
  <si>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</si>
  <si>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</si>
  <si>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</si>
  <si>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</si>
  <si>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</si>
  <si>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</si>
  <si>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</si>
  <si>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</si>
  <si>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</si>
  <si>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</si>
  <si>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</si>
  <si>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</si>
  <si>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</si>
  <si>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</si>
  <si>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</si>
  <si>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</si>
  <si>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</si>
  <si>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</si>
  <si>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</si>
  <si>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</si>
  <si>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</si>
  <si>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</si>
  <si>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</si>
  <si>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</si>
  <si>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</si>
  <si>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</si>
  <si>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</si>
  <si>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</si>
  <si>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</si>
  <si>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</si>
  <si>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</si>
  <si>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</si>
  <si>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</si>
  <si>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</si>
  <si>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</si>
  <si>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</si>
  <si>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</si>
  <si>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</si>
  <si>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</si>
  <si>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</si>
  <si>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</si>
  <si>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</si>
  <si>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</si>
  <si>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</si>
  <si>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</si>
  <si>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</si>
  <si>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</si>
  <si>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</si>
  <si>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</si>
  <si>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</si>
  <si>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</si>
  <si>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</si>
  <si>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</si>
  <si>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</si>
  <si>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</si>
  <si>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</si>
  <si>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</si>
  <si>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</si>
  <si>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</si>
  <si>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</si>
  <si>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</si>
  <si>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</si>
  <si>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</si>
  <si>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</si>
  <si>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</si>
  <si>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</si>
  <si>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</si>
  <si>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</si>
  <si>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</si>
  <si>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</si>
  <si>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</si>
  <si>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</si>
  <si>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</si>
  <si>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</si>
  <si>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</si>
  <si>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</si>
  <si>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</si>
  <si>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</si>
  <si>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</si>
  <si>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</si>
  <si>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</si>
  <si>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</si>
  <si>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</si>
  <si>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</si>
  <si>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</si>
  <si>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</si>
  <si>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</si>
  <si>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</si>
  <si>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</si>
  <si>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</si>
  <si>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</si>
  <si>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</si>
  <si>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</si>
  <si>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</si>
  <si>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</si>
  <si>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</si>
  <si>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</si>
  <si>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</si>
  <si>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</si>
  <si>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</si>
  <si>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</si>
  <si>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</si>
  <si>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</si>
  <si>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</si>
  <si>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</si>
  <si>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</si>
  <si>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</si>
  <si>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</si>
  <si>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</si>
  <si>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</si>
  <si>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</si>
  <si>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</si>
  <si>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</si>
  <si>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</si>
  <si>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</si>
  <si>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</si>
  <si>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</si>
  <si>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</si>
  <si>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</si>
  <si>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</si>
  <si>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</si>
  <si>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</si>
  <si>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</si>
  <si>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</si>
  <si>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</si>
  <si>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</si>
  <si>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</si>
  <si>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</si>
  <si>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</si>
  <si>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</si>
  <si>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</si>
  <si>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</si>
  <si>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</si>
  <si>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</si>
  <si>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</si>
  <si>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</si>
  <si>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</si>
  <si>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</si>
  <si>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</si>
  <si>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</si>
  <si>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</si>
  <si>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</si>
  <si>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</si>
  <si>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</si>
  <si>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</si>
  <si>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</si>
  <si>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</si>
  <si>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</si>
  <si>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</si>
  <si>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</si>
  <si>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</si>
  <si>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</si>
  <si>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</si>
  <si>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</si>
  <si>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</si>
  <si>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</si>
  <si>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</si>
  <si>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</si>
  <si>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</si>
  <si>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</si>
  <si>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</si>
  <si>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</si>
  <si>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</si>
  <si>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</si>
  <si>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</si>
  <si>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</si>
  <si>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</si>
  <si>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</si>
  <si>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</si>
  <si>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</si>
  <si>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</si>
  <si>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</si>
  <si>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</si>
  <si>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</si>
  <si>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</si>
  <si>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</si>
  <si>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</si>
  <si>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</si>
  <si>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</si>
  <si>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</si>
  <si>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</si>
  <si>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</si>
  <si>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</si>
  <si>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</si>
  <si>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</si>
  <si>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</si>
  <si>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</si>
  <si>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</si>
  <si>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</si>
  <si>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</si>
  <si>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</si>
  <si>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</si>
  <si>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</si>
  <si>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</si>
  <si>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</si>
  <si>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</si>
  <si>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</si>
  <si>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</si>
  <si>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</si>
  <si>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</si>
  <si>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</si>
  <si>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</si>
  <si>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</si>
  <si>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</si>
  <si>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</si>
  <si>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</si>
  <si>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</si>
  <si>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</si>
  <si>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</si>
  <si>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</si>
  <si>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</si>
  <si>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</si>
  <si>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</si>
  <si>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</si>
  <si>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</si>
  <si>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</si>
  <si>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</si>
  <si>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</si>
  <si>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</si>
  <si>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</si>
  <si>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</si>
  <si>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</si>
  <si>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</si>
  <si>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</si>
  <si>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</si>
  <si>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</si>
  <si>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</si>
  <si>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</si>
  <si>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</si>
  <si>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</si>
  <si>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</si>
  <si>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</si>
  <si>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</si>
  <si>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</si>
  <si>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</si>
  <si>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</si>
  <si>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</si>
  <si>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</si>
  <si>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</si>
  <si>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</si>
  <si>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</si>
  <si>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</si>
  <si>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</si>
  <si>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</si>
  <si>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</si>
  <si>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</si>
  <si>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</si>
  <si>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</si>
  <si>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</si>
  <si>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</si>
  <si>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</si>
  <si>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</si>
  <si>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</si>
  <si>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</si>
  <si>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</si>
  <si>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</si>
  <si>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</si>
  <si>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</si>
  <si>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</si>
  <si>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</si>
  <si>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</si>
  <si>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</si>
  <si>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</si>
  <si>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</si>
  <si>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</si>
  <si>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</si>
  <si>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</si>
  <si>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</si>
  <si>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</si>
  <si>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</si>
  <si>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</si>
  <si>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</si>
  <si>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</si>
  <si>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</si>
  <si>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</si>
  <si>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</si>
  <si>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</si>
  <si>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</si>
  <si>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</si>
  <si>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</si>
  <si>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</si>
  <si>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</si>
  <si>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</si>
  <si>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</si>
  <si>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</si>
  <si>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</si>
  <si>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</si>
  <si>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</si>
  <si>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</si>
  <si>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</si>
  <si>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</si>
  <si>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</si>
  <si>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</si>
  <si>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</si>
  <si>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</si>
  <si>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</si>
  <si>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</si>
  <si>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</si>
  <si>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</si>
  <si>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</si>
  <si>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</si>
  <si>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</si>
  <si>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</si>
  <si>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</si>
  <si>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</si>
  <si>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</si>
  <si>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</si>
  <si>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</si>
  <si>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</si>
  <si>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</si>
  <si>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</si>
  <si>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</si>
  <si>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</si>
  <si>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</si>
  <si>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</si>
  <si>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</si>
  <si>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</si>
  <si>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</si>
  <si>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</si>
  <si>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</si>
  <si>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</si>
  <si>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</si>
  <si>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</si>
  <si>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</si>
  <si>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</si>
  <si>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</si>
  <si>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</si>
  <si>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</si>
  <si>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</si>
  <si>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</si>
  <si>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</si>
  <si>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</si>
  <si>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</si>
  <si>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</si>
  <si>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</si>
  <si>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</si>
  <si>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</si>
  <si>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</si>
  <si>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</si>
  <si>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</si>
  <si>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</si>
  <si>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</si>
  <si>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</si>
  <si>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</si>
  <si>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</si>
  <si>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</si>
  <si>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</si>
  <si>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</si>
  <si>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</si>
  <si>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</si>
  <si>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</si>
  <si>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</si>
  <si>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</si>
  <si>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</si>
  <si>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</si>
  <si>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</si>
  <si>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</si>
  <si>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</si>
  <si>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</si>
  <si>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</si>
  <si>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</si>
  <si>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</si>
  <si>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</si>
  <si>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</si>
  <si>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</si>
  <si>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</si>
  <si>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</si>
  <si>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</si>
  <si>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</si>
  <si>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</si>
  <si>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</si>
  <si>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</si>
  <si>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</si>
  <si>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</si>
  <si>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</si>
  <si>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</si>
  <si>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</si>
  <si>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</si>
  <si>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</si>
  <si>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</si>
  <si>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</si>
  <si>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</si>
  <si>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</si>
  <si>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</si>
  <si>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</si>
  <si>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</si>
  <si>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</si>
  <si>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</si>
  <si>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</si>
  <si>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</si>
  <si>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</si>
  <si>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</si>
  <si>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</si>
  <si>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</si>
  <si>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</si>
  <si>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</si>
  <si>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</si>
  <si>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</si>
  <si>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</si>
  <si>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</si>
  <si>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</si>
  <si>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</si>
  <si>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</si>
  <si>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</si>
  <si>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</si>
  <si>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</si>
  <si>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</si>
  <si>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</si>
  <si>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</si>
  <si>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</si>
  <si>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</si>
  <si>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</si>
  <si>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</si>
  <si>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</si>
  <si>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</si>
  <si>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</si>
  <si>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</si>
  <si>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</si>
  <si>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</si>
  <si>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</si>
  <si>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</si>
  <si>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</si>
  <si>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</si>
  <si>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</si>
  <si>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</si>
  <si>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</si>
  <si>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</si>
  <si>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</si>
  <si>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</si>
  <si>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</si>
  <si>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</si>
  <si>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</si>
  <si>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</si>
  <si>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</si>
  <si>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</si>
  <si>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</si>
  <si>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</si>
  <si>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</si>
  <si>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</si>
  <si>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</si>
  <si>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</si>
  <si>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</si>
  <si>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</si>
  <si>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</si>
  <si>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</si>
  <si>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</si>
  <si>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</si>
  <si>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</si>
  <si>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</si>
  <si>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</si>
  <si>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</si>
  <si>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</si>
  <si>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</si>
  <si>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</si>
  <si>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</si>
  <si>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</si>
  <si>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</si>
  <si>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</si>
  <si>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</si>
  <si>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</si>
  <si>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</si>
  <si>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</si>
  <si>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</si>
  <si>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</si>
  <si>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</si>
  <si>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</si>
  <si>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</si>
  <si>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</si>
  <si>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</si>
  <si>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</si>
  <si>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</si>
  <si>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</si>
  <si>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</si>
  <si>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</si>
  <si>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</si>
  <si>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</si>
  <si>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</si>
  <si>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</si>
  <si>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</si>
  <si>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</si>
  <si>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</si>
  <si>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</si>
  <si>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</si>
  <si>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</si>
  <si>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</si>
  <si>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</si>
  <si>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</si>
  <si>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</si>
  <si>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</si>
  <si>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</si>
  <si>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</si>
  <si>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</si>
  <si>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</si>
  <si>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</si>
  <si>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</si>
  <si>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</si>
  <si>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</si>
  <si>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</si>
  <si>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</si>
  <si>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</si>
  <si>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</si>
  <si>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</si>
  <si>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</si>
  <si>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</si>
  <si>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</si>
  <si>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</si>
  <si>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</si>
  <si>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</si>
  <si>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</si>
  <si>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</si>
  <si>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</si>
  <si>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</si>
  <si>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</si>
  <si>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</si>
  <si>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</si>
  <si>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</si>
  <si>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</si>
  <si>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</si>
  <si>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</si>
  <si>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</si>
  <si>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</si>
  <si>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</si>
  <si>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</si>
  <si>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</si>
  <si>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</si>
  <si>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</si>
  <si>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</si>
  <si>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</si>
  <si>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</si>
  <si>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</si>
  <si>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</si>
  <si>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</si>
  <si>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</si>
  <si>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</si>
  <si>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</si>
  <si>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</si>
  <si>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</si>
  <si>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</si>
  <si>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</si>
  <si>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</si>
  <si>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</si>
  <si>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</si>
  <si>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</si>
  <si>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</si>
  <si>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</si>
  <si>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</si>
  <si>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</si>
  <si>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</si>
  <si>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</si>
  <si>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</si>
  <si>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</si>
  <si>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</si>
  <si>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</si>
  <si>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</si>
  <si>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</si>
  <si>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</si>
  <si>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</si>
  <si>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</si>
  <si>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</si>
  <si>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</si>
  <si>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</si>
  <si>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</si>
  <si>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</si>
  <si>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</si>
  <si>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</si>
  <si>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</si>
  <si>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</si>
  <si>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</si>
  <si>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</si>
  <si>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</si>
  <si>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</si>
  <si>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</si>
  <si>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</si>
  <si>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</si>
  <si>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</si>
  <si>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</si>
  <si>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</si>
  <si>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</si>
  <si>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</si>
  <si>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</si>
  <si>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</si>
  <si>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</si>
  <si>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</si>
  <si>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</si>
  <si>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</si>
  <si>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</si>
  <si>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</si>
  <si>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</si>
  <si>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</si>
  <si>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</si>
  <si>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</si>
  <si>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</si>
  <si>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</si>
  <si>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</si>
  <si>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</si>
  <si>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</si>
  <si>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</si>
  <si>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</si>
  <si>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</si>
  <si>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</si>
  <si>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</si>
  <si>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</si>
  <si>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</si>
  <si>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</si>
  <si>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</si>
  <si>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</si>
  <si>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</si>
  <si>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</si>
  <si>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</si>
  <si>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</si>
  <si>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</si>
  <si>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</si>
  <si>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</si>
  <si>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</si>
  <si>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</si>
  <si>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</si>
  <si>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</si>
  <si>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</si>
  <si>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</si>
  <si>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</si>
  <si>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</si>
  <si>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</si>
  <si>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</si>
  <si>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</si>
  <si>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</si>
  <si>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</si>
  <si>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</si>
  <si>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</si>
  <si>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</si>
  <si>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</si>
  <si>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</si>
  <si>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</si>
  <si>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</si>
  <si>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</si>
  <si>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</si>
  <si>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</si>
  <si>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</si>
  <si>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</si>
  <si>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</si>
  <si>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</si>
  <si>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</si>
  <si>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</si>
  <si>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</si>
  <si>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</si>
  <si>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</si>
  <si>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</si>
  <si>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</si>
  <si>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</si>
  <si>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</si>
  <si>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</si>
  <si>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</si>
  <si>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</si>
  <si>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</si>
  <si>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</si>
  <si>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</si>
  <si>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</si>
  <si>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</si>
  <si>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</si>
  <si>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</si>
  <si>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</si>
  <si>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</si>
  <si>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</si>
  <si>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</si>
  <si>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</si>
  <si>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</si>
  <si>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</si>
  <si>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</si>
  <si>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</si>
  <si>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</si>
  <si>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</si>
  <si>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</si>
  <si>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</si>
  <si>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</si>
  <si>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</si>
  <si>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</si>
  <si>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</si>
  <si>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</si>
  <si>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</si>
  <si>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</si>
  <si>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</si>
  <si>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</si>
  <si>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</si>
  <si>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</si>
  <si>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</si>
  <si>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</si>
  <si>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</si>
  <si>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</si>
  <si>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</si>
  <si>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</si>
  <si>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</si>
  <si>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</si>
  <si>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</si>
  <si>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</si>
  <si>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</si>
  <si>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</si>
  <si>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</si>
  <si>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</si>
  <si>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</si>
  <si>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</si>
  <si>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</si>
  <si>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</si>
  <si>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</si>
  <si>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</si>
  <si>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</si>
  <si>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</si>
  <si>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</si>
  <si>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</si>
  <si>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</si>
  <si>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</si>
  <si>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</si>
  <si>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</si>
  <si>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</si>
  <si>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</si>
  <si>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</si>
  <si>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</si>
  <si>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</si>
  <si>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</si>
  <si>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</si>
  <si>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</si>
  <si>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</si>
  <si>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</si>
  <si>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</si>
  <si>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</si>
  <si>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</si>
  <si>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</si>
  <si>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</si>
  <si>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</si>
  <si>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</si>
  <si>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</si>
  <si>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</si>
  <si>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</si>
  <si>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</si>
  <si>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</si>
  <si>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</si>
  <si>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</si>
  <si>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</si>
  <si>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</si>
  <si>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</si>
  <si>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</si>
  <si>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</si>
  <si>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</si>
  <si>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</si>
  <si>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</si>
  <si>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</si>
  <si>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</si>
  <si>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</si>
  <si>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</si>
  <si>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</si>
  <si>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</si>
  <si>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</si>
  <si>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</si>
  <si>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</si>
  <si>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</si>
  <si>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</si>
  <si>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</si>
  <si>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</si>
  <si>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</si>
  <si>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</si>
  <si>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</si>
  <si>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</si>
  <si>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</si>
  <si>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</si>
  <si>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</si>
  <si>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</si>
  <si>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</si>
  <si>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</si>
  <si>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</si>
  <si>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</si>
  <si>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</si>
  <si>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</si>
  <si>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</si>
  <si>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</si>
  <si>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</si>
  <si>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</si>
  <si>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</si>
  <si>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</si>
  <si>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</si>
  <si>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</si>
  <si>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</si>
  <si>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</si>
  <si>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</si>
  <si>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</si>
  <si>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</si>
  <si>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</si>
  <si>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</si>
  <si>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</si>
  <si>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</si>
  <si>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</si>
  <si>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</si>
  <si>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</si>
  <si>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</si>
  <si>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</si>
  <si>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</si>
  <si>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</si>
  <si>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</si>
  <si>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</si>
  <si>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</si>
  <si>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</si>
  <si>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</si>
  <si>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</si>
  <si>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</si>
  <si>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</si>
  <si>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</si>
  <si>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</si>
  <si>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</si>
  <si>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</si>
  <si>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</si>
  <si>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</si>
  <si>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</si>
  <si>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</si>
  <si>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</si>
  <si>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</si>
  <si>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</si>
  <si>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</si>
  <si>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</si>
  <si>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</si>
  <si>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</si>
  <si>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</si>
  <si>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</si>
  <si>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</si>
  <si>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</si>
  <si>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</si>
  <si>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</si>
  <si>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</si>
  <si>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</si>
  <si>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</si>
  <si>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</si>
  <si>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</si>
  <si>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</si>
  <si>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</si>
  <si>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</si>
  <si>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</si>
  <si>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</si>
  <si>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</si>
  <si>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</si>
  <si>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</si>
  <si>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</si>
  <si>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</si>
  <si>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</si>
  <si>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</si>
  <si>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</si>
  <si>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</si>
  <si>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</si>
  <si>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</si>
  <si>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</si>
  <si>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</si>
  <si>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</si>
  <si>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</si>
  <si>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</si>
  <si>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</si>
  <si>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</si>
  <si>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</si>
  <si>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</si>
  <si>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</si>
  <si>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</si>
  <si>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</si>
  <si>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</si>
  <si>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</si>
  <si>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</si>
  <si>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</si>
  <si>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</si>
  <si>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</si>
  <si>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</si>
  <si>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</si>
  <si>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</si>
  <si>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</si>
  <si>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</si>
  <si>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</si>
  <si>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</si>
  <si>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</si>
  <si>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</si>
  <si>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</si>
  <si>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</si>
  <si>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</si>
  <si>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</si>
  <si>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</si>
  <si>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</si>
  <si>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</si>
  <si>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</si>
  <si>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</si>
  <si>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</si>
  <si>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</si>
  <si>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</si>
  <si>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</si>
  <si>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</si>
  <si>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</si>
  <si>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</si>
  <si>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</si>
  <si>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</si>
  <si>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</si>
  <si>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</si>
  <si>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</si>
  <si>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</si>
  <si>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</si>
  <si>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</si>
  <si>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</si>
  <si>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</si>
  <si>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</si>
  <si>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</si>
  <si>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</si>
  <si>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</si>
  <si>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</si>
  <si>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</si>
  <si>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</si>
  <si>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</si>
  <si>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</si>
  <si>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</si>
  <si>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</si>
  <si>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</si>
  <si>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</si>
  <si>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</si>
  <si>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</si>
  <si>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</si>
  <si>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</si>
  <si>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</si>
  <si>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</si>
  <si>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</si>
  <si>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</si>
  <si>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</si>
  <si>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</si>
  <si>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</si>
  <si>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</si>
  <si>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</si>
  <si>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</si>
  <si>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</si>
  <si>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</si>
  <si>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</si>
  <si>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</si>
  <si>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</si>
  <si>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</si>
  <si>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</si>
  <si>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</si>
  <si>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</si>
  <si>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</si>
  <si>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</si>
  <si>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</si>
  <si>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</si>
  <si>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</si>
  <si>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</si>
  <si>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</si>
  <si>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</si>
  <si>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</si>
  <si>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</si>
  <si>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</si>
  <si>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</si>
  <si>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</si>
  <si>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</si>
  <si>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</si>
  <si>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</si>
  <si>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</si>
  <si>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</si>
  <si>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</si>
  <si>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</si>
  <si>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</si>
  <si>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</si>
  <si>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</si>
  <si>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</si>
  <si>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</si>
  <si>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</si>
  <si>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</si>
  <si>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</si>
  <si>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</si>
  <si>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</si>
  <si>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</si>
  <si>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</si>
  <si>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</si>
  <si>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</si>
  <si>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</si>
  <si>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</si>
  <si>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</si>
  <si>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</si>
  <si>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</si>
  <si>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</si>
  <si>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</si>
  <si>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</si>
  <si>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</si>
  <si>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</si>
  <si>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</si>
  <si>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</si>
  <si>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</si>
  <si>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</si>
  <si>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</si>
  <si>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</si>
  <si>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</si>
  <si>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</si>
  <si>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</si>
  <si>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</si>
  <si>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</si>
  <si>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</si>
  <si>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</si>
  <si>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</si>
  <si>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</si>
  <si>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</si>
  <si>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</si>
  <si>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</si>
  <si>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</si>
  <si>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</si>
  <si>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</si>
  <si>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</si>
  <si>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</si>
  <si>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</si>
  <si>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</si>
  <si>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</si>
  <si>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</si>
  <si>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</si>
  <si>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</si>
  <si>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</si>
  <si>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</si>
  <si>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</si>
  <si>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</si>
  <si>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</si>
  <si>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</si>
  <si>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</si>
  <si>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</si>
  <si>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</si>
  <si>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</si>
  <si>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</si>
  <si>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</si>
  <si>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</si>
  <si>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</si>
  <si>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</si>
  <si>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</si>
  <si>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</si>
  <si>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</si>
  <si>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</si>
  <si>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</si>
  <si>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</si>
  <si>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</si>
  <si>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</si>
  <si>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</si>
  <si>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</si>
  <si>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</si>
  <si>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</si>
  <si>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</si>
  <si>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</si>
  <si>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</si>
  <si>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</si>
  <si>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</si>
  <si>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</si>
  <si>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</si>
  <si>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</si>
  <si>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</si>
  <si>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</si>
  <si>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</si>
  <si>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</si>
  <si>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</si>
  <si>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</si>
  <si>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</si>
  <si>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</si>
  <si>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</si>
  <si>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</si>
  <si>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</si>
  <si>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</si>
  <si>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</si>
  <si>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</si>
  <si>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</si>
  <si>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</si>
  <si>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</si>
  <si>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</si>
  <si>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</si>
  <si>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</si>
  <si>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</si>
  <si>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</si>
  <si>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</si>
  <si>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</si>
  <si>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</si>
  <si>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</si>
  <si>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</si>
  <si>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</si>
  <si>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</si>
  <si>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</si>
  <si>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</si>
  <si>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</si>
  <si>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</si>
  <si>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</si>
  <si>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</si>
  <si>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</si>
  <si>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</si>
  <si>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</si>
  <si>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</si>
  <si>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</si>
  <si>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</si>
  <si>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</si>
  <si>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</si>
  <si>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</si>
  <si>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</si>
  <si>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</si>
  <si>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</si>
  <si>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</si>
  <si>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</si>
  <si>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</si>
  <si>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</si>
  <si>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</si>
  <si>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</si>
  <si>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</si>
  <si>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</si>
  <si>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</si>
  <si>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</si>
  <si>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</si>
  <si>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</si>
  <si>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</si>
  <si>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</si>
  <si>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</si>
  <si>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</si>
  <si>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</si>
  <si>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</si>
  <si>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</si>
  <si>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</si>
  <si>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</si>
  <si>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</si>
  <si>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</si>
  <si>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</si>
  <si>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</si>
  <si>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</si>
  <si>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</si>
  <si>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</si>
  <si>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</si>
  <si>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</si>
  <si>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</si>
  <si>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</si>
  <si>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</si>
  <si>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</si>
  <si>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</si>
  <si>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</si>
  <si>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</si>
  <si>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</si>
  <si>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</si>
  <si>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</si>
  <si>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</si>
  <si>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</si>
  <si>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</si>
  <si>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</si>
  <si>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</si>
  <si>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</si>
  <si>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</si>
  <si>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</si>
  <si>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</si>
  <si>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</si>
  <si>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</si>
  <si>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</si>
  <si>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</si>
  <si>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</si>
  <si>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</si>
  <si>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</si>
  <si>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</si>
  <si>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</si>
  <si>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</si>
  <si>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</si>
  <si>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</si>
  <si>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</si>
  <si>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</si>
  <si>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</si>
  <si>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</si>
  <si>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</si>
  <si>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</si>
  <si>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</si>
  <si>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</si>
  <si>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</si>
  <si>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</si>
  <si>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</si>
  <si>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</si>
  <si>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</si>
  <si>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</si>
  <si>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</si>
  <si>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</si>
  <si>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</si>
  <si>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</si>
  <si>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</si>
  <si>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</si>
  <si>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</si>
  <si>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</si>
  <si>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</si>
  <si>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</si>
  <si>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</si>
  <si>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</si>
  <si>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</si>
  <si>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</si>
  <si>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</si>
  <si>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</si>
  <si>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</si>
  <si>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</si>
  <si>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</si>
  <si>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</si>
  <si>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</si>
  <si>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</si>
  <si>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</si>
  <si>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</si>
  <si>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</si>
  <si>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</si>
  <si>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</si>
  <si>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</si>
  <si>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</si>
  <si>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</si>
  <si>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</si>
  <si>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</si>
  <si>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</si>
  <si>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</si>
  <si>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</si>
  <si>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</si>
  <si>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</si>
  <si>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</si>
  <si>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</si>
  <si>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</si>
  <si>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</si>
  <si>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</si>
  <si>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</si>
  <si>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</si>
  <si>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</si>
  <si>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</si>
  <si>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</si>
  <si>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</si>
  <si>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</si>
  <si>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</si>
  <si>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</si>
  <si>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</si>
  <si>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</si>
  <si>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</si>
  <si>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</si>
  <si>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</si>
  <si>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</si>
  <si>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</si>
  <si>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</si>
  <si>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</si>
  <si>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</si>
  <si>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</si>
  <si>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</si>
  <si>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</si>
  <si>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</si>
  <si>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</si>
  <si>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</si>
  <si>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</si>
  <si>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</si>
  <si>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</si>
  <si>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</si>
  <si>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</si>
  <si>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</si>
  <si>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</si>
  <si>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</si>
  <si>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</si>
  <si>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</si>
  <si>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</si>
  <si>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</si>
  <si>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</si>
  <si>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</si>
  <si>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</si>
  <si>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</si>
  <si>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</si>
  <si>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</si>
  <si>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</si>
  <si>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</si>
  <si>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</si>
  <si>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</si>
  <si>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</si>
  <si>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</si>
  <si>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</si>
  <si>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</si>
  <si>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</si>
  <si>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</si>
  <si>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</si>
  <si>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</si>
  <si>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</si>
  <si>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</si>
  <si>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</si>
  <si>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</si>
  <si>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</si>
  <si>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</si>
  <si>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</si>
  <si>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</si>
  <si>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</si>
  <si>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</si>
  <si>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</si>
  <si>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</si>
  <si>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</si>
  <si>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</si>
  <si>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</si>
  <si>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</si>
  <si>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</si>
  <si>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</si>
  <si>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</si>
  <si>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</si>
  <si>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</si>
  <si>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</si>
  <si>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</si>
  <si>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</si>
  <si>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</si>
  <si>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</si>
  <si>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</si>
  <si>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</si>
  <si>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</si>
  <si>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</si>
  <si>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</si>
  <si>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</si>
  <si>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</si>
  <si>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</si>
  <si>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</si>
  <si>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</si>
  <si>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</si>
  <si>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</si>
  <si>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</si>
  <si>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</si>
  <si>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</si>
  <si>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</si>
  <si>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</si>
  <si>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</si>
  <si>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</si>
  <si>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</si>
  <si>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</si>
  <si>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</si>
  <si>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</si>
  <si>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</si>
  <si>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</si>
  <si>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</si>
  <si>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</si>
  <si>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</si>
  <si>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</si>
  <si>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</si>
  <si>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</si>
  <si>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</si>
  <si>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</si>
  <si>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</si>
  <si>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</si>
  <si>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</si>
  <si>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</si>
  <si>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</si>
  <si>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</si>
  <si>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</si>
  <si>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</si>
  <si>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</si>
  <si>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</si>
  <si>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</si>
  <si>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</si>
  <si>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</si>
  <si>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</si>
  <si>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</si>
  <si>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</si>
  <si>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</si>
  <si>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</si>
  <si>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</si>
  <si>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</si>
  <si>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</si>
  <si>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</si>
  <si>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</si>
  <si>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</si>
  <si>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</si>
  <si>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</si>
  <si>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</si>
  <si>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</si>
  <si>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</si>
  <si>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</si>
  <si>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</si>
  <si>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</si>
  <si>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</si>
  <si>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</si>
  <si>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</si>
  <si>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</si>
  <si>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</si>
  <si>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</si>
  <si>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</si>
  <si>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</si>
  <si>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</si>
  <si>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</si>
  <si>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</si>
  <si>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</si>
  <si>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</si>
  <si>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</si>
  <si>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</si>
  <si>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</si>
  <si>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</si>
  <si>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</si>
  <si>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</si>
  <si>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</si>
  <si>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</si>
  <si>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</si>
  <si>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</si>
  <si>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</si>
  <si>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</si>
  <si>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</si>
  <si>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</si>
  <si>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</si>
  <si>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</si>
  <si>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</si>
  <si>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</si>
  <si>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</si>
  <si>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</si>
  <si>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</si>
  <si>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</si>
  <si>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</si>
  <si>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</si>
  <si>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</si>
  <si>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</si>
  <si>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</si>
  <si>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</si>
  <si>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</si>
  <si>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</si>
  <si>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</si>
  <si>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</si>
  <si>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</si>
  <si>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</si>
  <si>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</si>
  <si>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</si>
  <si>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</si>
  <si>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</si>
  <si>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</si>
  <si>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</si>
  <si>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</si>
  <si>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</si>
  <si>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</si>
  <si>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</si>
  <si>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</si>
  <si>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</si>
  <si>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</si>
  <si>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</si>
  <si>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</si>
  <si>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</si>
  <si>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</si>
  <si>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</si>
  <si>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</si>
  <si>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</si>
  <si>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</si>
  <si>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</si>
  <si>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</si>
  <si>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</si>
  <si>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</si>
  <si>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</si>
  <si>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</si>
  <si>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</si>
  <si>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</si>
  <si>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</si>
  <si>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</si>
  <si>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</si>
  <si>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</si>
  <si>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</si>
  <si>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</si>
  <si>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</si>
  <si>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</si>
  <si>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</si>
  <si>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</si>
  <si>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</si>
  <si>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</si>
  <si>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</si>
  <si>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</si>
  <si>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</si>
  <si>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</si>
  <si>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</si>
  <si>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</si>
  <si>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</si>
  <si>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</si>
  <si>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</si>
  <si>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</si>
  <si>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</si>
  <si>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</si>
  <si>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</si>
  <si>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</si>
  <si>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</si>
  <si>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</si>
  <si>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</si>
  <si>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</si>
  <si>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</si>
  <si>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</si>
  <si>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</si>
  <si>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</si>
  <si>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</si>
  <si>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</si>
  <si>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</si>
  <si>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</si>
  <si>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</si>
  <si>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</si>
  <si>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</si>
  <si>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</si>
  <si>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</si>
  <si>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</si>
  <si>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</si>
  <si>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</si>
  <si>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</si>
  <si>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</si>
  <si>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</si>
  <si>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</si>
  <si>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</si>
  <si>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</si>
  <si>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</si>
  <si>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</si>
  <si>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</si>
  <si>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</si>
  <si>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</si>
  <si>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</si>
  <si>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</si>
  <si>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</si>
  <si>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</si>
  <si>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</si>
  <si>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</si>
  <si>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</si>
  <si>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</si>
  <si>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</si>
  <si>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</si>
  <si>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</si>
  <si>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</si>
  <si>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</si>
  <si>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</si>
  <si>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</si>
  <si>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</si>
  <si>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</si>
  <si>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</si>
  <si>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</si>
  <si>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</si>
  <si>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</si>
  <si>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</si>
  <si>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</si>
  <si>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</si>
  <si>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</si>
  <si>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</si>
  <si>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</si>
  <si>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</si>
  <si>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</si>
  <si>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</si>
  <si>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</si>
  <si>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</si>
  <si>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</si>
  <si>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</si>
  <si>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</si>
  <si>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</si>
  <si>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</si>
  <si>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</si>
  <si>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</si>
  <si>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</si>
  <si>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</si>
  <si>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</si>
  <si>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</si>
  <si>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</si>
  <si>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</si>
  <si>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</si>
  <si>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</si>
  <si>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</si>
  <si>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</si>
  <si>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</si>
  <si>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</si>
  <si>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</si>
  <si>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</si>
  <si>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</si>
  <si>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</si>
  <si>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</si>
  <si>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</si>
  <si>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</si>
  <si>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</si>
  <si>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</si>
  <si>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</si>
  <si>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</si>
  <si>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</si>
  <si>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</si>
  <si>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</si>
  <si>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</si>
  <si>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</si>
  <si>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</si>
  <si>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</si>
  <si>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</si>
  <si>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</si>
  <si>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</si>
  <si>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</si>
  <si>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</si>
  <si>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</si>
  <si>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</si>
  <si>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</si>
  <si>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</si>
  <si>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</si>
  <si>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</si>
  <si>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</si>
  <si>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</si>
  <si>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</si>
  <si>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</si>
  <si>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</si>
  <si>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</si>
  <si>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</si>
  <si>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</si>
  <si>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</si>
  <si>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</si>
  <si>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</si>
  <si>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</si>
  <si>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</si>
  <si>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</si>
  <si>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</si>
  <si>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</si>
  <si>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</si>
  <si>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</si>
  <si>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</si>
  <si>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</si>
  <si>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</si>
  <si>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</si>
  <si>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</si>
  <si>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</si>
  <si>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</si>
  <si>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</si>
  <si>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</si>
  <si>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</si>
  <si>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</si>
  <si>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</si>
  <si>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</si>
  <si>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</si>
  <si>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</si>
  <si>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</si>
  <si>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</si>
  <si>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</si>
  <si>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</si>
  <si>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</si>
  <si>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</si>
  <si>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</si>
  <si>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</si>
  <si>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</si>
  <si>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</si>
  <si>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</si>
  <si>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</si>
  <si>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</si>
  <si>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</si>
  <si>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</si>
  <si>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</si>
  <si>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</si>
  <si>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</si>
  <si>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</si>
  <si>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</si>
  <si>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</si>
  <si>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</si>
  <si>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</si>
  <si>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</si>
  <si>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</si>
  <si>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</si>
  <si>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</si>
  <si>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</si>
  <si>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</si>
  <si>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</si>
  <si>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</si>
  <si>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</si>
  <si>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</si>
  <si>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</si>
  <si>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</si>
  <si>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</si>
  <si>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</si>
  <si>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</si>
  <si>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</si>
  <si>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</si>
  <si>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</si>
  <si>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</si>
  <si>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</si>
  <si>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</si>
  <si>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</si>
  <si>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</si>
  <si>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</si>
  <si>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</si>
  <si>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</si>
  <si>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</si>
  <si>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</si>
  <si>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</si>
  <si>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</si>
  <si>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</si>
  <si>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</si>
  <si>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</si>
  <si>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</si>
  <si>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</si>
  <si>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</si>
  <si>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</si>
  <si>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</si>
  <si>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</si>
  <si>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</si>
  <si>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</si>
  <si>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</si>
  <si>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</si>
  <si>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</si>
  <si>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</si>
  <si>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</si>
  <si>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</si>
  <si>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</si>
  <si>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</si>
  <si>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</si>
  <si>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</si>
  <si>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</si>
  <si>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</si>
  <si>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</si>
  <si>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</si>
  <si>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</si>
  <si>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</si>
  <si>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</si>
  <si>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</si>
  <si>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</si>
  <si>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</si>
  <si>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</si>
  <si>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</si>
  <si>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</si>
  <si>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</si>
  <si>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</si>
  <si>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</si>
  <si>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</si>
  <si>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</si>
  <si>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</si>
  <si>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</si>
  <si>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</si>
  <si>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</si>
  <si>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</si>
  <si>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</si>
  <si>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</si>
  <si>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</si>
  <si>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</si>
  <si>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</si>
  <si>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</si>
  <si>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</si>
  <si>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</si>
  <si>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</si>
  <si>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</si>
  <si>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</si>
  <si>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</si>
  <si>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</si>
  <si>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</si>
  <si>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</si>
  <si>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</si>
  <si>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</si>
  <si>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</si>
  <si>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</si>
  <si>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</si>
  <si>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</si>
  <si>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</si>
  <si>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</si>
  <si>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</si>
  <si>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</si>
  <si>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</si>
  <si>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</si>
  <si>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</si>
  <si>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</si>
  <si>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</si>
  <si>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</si>
  <si>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</si>
  <si>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</si>
  <si>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</si>
  <si>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</si>
  <si>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</si>
  <si>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</si>
  <si>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</si>
  <si>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</si>
  <si>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</si>
  <si>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</si>
  <si>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</si>
  <si>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</si>
  <si>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</si>
  <si>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</si>
  <si>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</si>
  <si>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</si>
  <si>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</si>
  <si>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</si>
  <si>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</si>
  <si>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</si>
  <si>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</si>
  <si>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</si>
  <si>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</si>
  <si>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</si>
  <si>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</si>
  <si>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</si>
  <si>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</si>
  <si>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</si>
  <si>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</si>
  <si>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</si>
  <si>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</si>
  <si>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</si>
  <si>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</si>
  <si>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</si>
  <si>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</si>
  <si>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</si>
  <si>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</si>
  <si>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</si>
  <si>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</si>
  <si>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</si>
  <si>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</si>
  <si>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</si>
  <si>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</si>
  <si>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</si>
  <si>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</si>
  <si>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</si>
  <si>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</si>
  <si>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</si>
  <si>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</si>
  <si>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</si>
  <si>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</si>
  <si>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</si>
  <si>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</si>
  <si>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</si>
  <si>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</si>
  <si>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</si>
  <si>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</si>
  <si>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</si>
  <si>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</si>
  <si>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</si>
  <si>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</si>
  <si>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</si>
  <si>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</si>
  <si>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</si>
  <si>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</si>
  <si>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</si>
  <si>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</si>
  <si>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</si>
  <si>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</si>
  <si>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</si>
  <si>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</si>
  <si>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</si>
  <si>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</si>
  <si>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</si>
  <si>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</si>
  <si>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</si>
  <si>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</si>
  <si>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</si>
  <si>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</si>
  <si>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</si>
  <si>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</si>
  <si>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</si>
  <si>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</si>
  <si>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</si>
  <si>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</si>
  <si>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</si>
  <si>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</si>
  <si>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</si>
  <si>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</si>
  <si>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</si>
  <si>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</si>
  <si>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</si>
  <si>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</si>
  <si>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</si>
  <si>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</si>
  <si>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</si>
  <si>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</si>
  <si>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</si>
  <si>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</si>
  <si>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</si>
  <si>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</si>
  <si>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</si>
  <si>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</si>
  <si>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</si>
  <si>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</si>
  <si>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</si>
  <si>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</si>
  <si>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</si>
  <si>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</si>
  <si>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</si>
  <si>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</si>
  <si>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</si>
  <si>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</si>
  <si>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</si>
  <si>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</si>
  <si>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</si>
  <si>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</si>
  <si>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</si>
  <si>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</si>
  <si>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</si>
  <si>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</si>
  <si>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</si>
  <si>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</si>
  <si>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</si>
  <si>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</si>
  <si>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</si>
  <si>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</si>
  <si>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</si>
  <si>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</si>
  <si>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</si>
  <si>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</si>
  <si>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</si>
  <si>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</si>
  <si>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</si>
  <si>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</si>
  <si>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</si>
  <si>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</si>
  <si>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</si>
  <si>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</si>
  <si>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</si>
  <si>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</si>
  <si>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</si>
  <si>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</si>
  <si>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</si>
  <si>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</si>
  <si>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</si>
  <si>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</si>
  <si>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</si>
  <si>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</si>
  <si>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</si>
  <si>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</si>
  <si>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</si>
  <si>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</si>
  <si>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</si>
  <si>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</si>
  <si>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</si>
  <si>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</si>
  <si>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</si>
  <si>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</si>
  <si>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</si>
  <si>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</si>
  <si>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</si>
  <si>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</si>
  <si>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</si>
  <si>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</si>
  <si>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</si>
  <si>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</si>
  <si>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</si>
  <si>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</si>
  <si>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</si>
  <si>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</si>
  <si>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</si>
  <si>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</si>
  <si>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</si>
  <si>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</si>
  <si>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</si>
  <si>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</si>
  <si>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</si>
  <si>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</si>
  <si>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</si>
  <si>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</si>
  <si>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</si>
  <si>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</si>
  <si>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</si>
  <si>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</si>
  <si>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</si>
  <si>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</si>
  <si>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</si>
  <si>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</si>
  <si>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</si>
  <si>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</si>
  <si>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</si>
  <si>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</si>
  <si>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</si>
  <si>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</si>
  <si>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</si>
  <si>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</si>
  <si>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</si>
  <si>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</si>
  <si>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</si>
  <si>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</si>
  <si>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</si>
  <si>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</si>
  <si>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</si>
  <si>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</si>
  <si>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</si>
  <si>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</si>
  <si>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</si>
  <si>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</si>
  <si>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</si>
  <si>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</si>
  <si>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</si>
  <si>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</si>
  <si>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</si>
  <si>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</si>
  <si>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</si>
  <si>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</si>
  <si>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</si>
  <si>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</si>
  <si>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</si>
  <si>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</si>
  <si>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</si>
  <si>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</si>
  <si>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</si>
  <si>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</si>
  <si>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</si>
  <si>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</si>
  <si>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</si>
  <si>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</si>
  <si>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</si>
  <si>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</si>
  <si>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</si>
  <si>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</si>
  <si>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</si>
  <si>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</si>
  <si>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</si>
  <si>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</si>
  <si>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</si>
  <si>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</si>
  <si>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</si>
  <si>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</si>
  <si>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</si>
  <si>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</si>
  <si>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</si>
  <si>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</si>
  <si>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</si>
  <si>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</si>
  <si>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</si>
  <si>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</si>
  <si>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</si>
  <si>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</si>
  <si>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</si>
  <si>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</si>
  <si>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</si>
  <si>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</si>
  <si>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</si>
  <si>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</si>
  <si>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</si>
  <si>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</si>
  <si>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</si>
  <si>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</si>
  <si>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</si>
  <si>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</si>
  <si>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</si>
  <si>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</si>
  <si>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</si>
  <si>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</si>
  <si>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</si>
  <si>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</si>
  <si>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</si>
  <si>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</si>
  <si>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</si>
  <si>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</si>
  <si>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</si>
  <si>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</si>
  <si>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</si>
  <si>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</si>
  <si>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</si>
  <si>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</si>
  <si>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</si>
  <si>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</si>
  <si>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</si>
  <si>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</si>
  <si>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</si>
  <si>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</si>
  <si>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</si>
  <si>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</si>
  <si>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</si>
  <si>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</si>
  <si>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</si>
  <si>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</si>
  <si>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</si>
  <si>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</si>
  <si>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</si>
  <si>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</si>
  <si>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</si>
  <si>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</si>
  <si>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</si>
  <si>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</si>
  <si>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</si>
  <si>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</si>
  <si>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</si>
  <si>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</si>
  <si>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</si>
  <si>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</si>
  <si>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</si>
  <si>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</si>
  <si>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</si>
  <si>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</si>
  <si>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</si>
  <si>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</si>
  <si>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</si>
  <si>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</si>
  <si>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</si>
  <si>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</si>
  <si>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</si>
  <si>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</si>
  <si>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</si>
  <si>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</si>
  <si>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</si>
  <si>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</si>
  <si>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</si>
  <si>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</si>
  <si>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</si>
  <si>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</si>
  <si>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</si>
  <si>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</si>
  <si>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</si>
  <si>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</si>
  <si>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</si>
  <si>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</si>
  <si>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</si>
  <si>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</si>
  <si>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</si>
  <si>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</si>
  <si>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</si>
  <si>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</si>
  <si>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</si>
  <si>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</si>
  <si>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</si>
  <si>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</si>
  <si>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</si>
  <si>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</si>
  <si>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</si>
  <si>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</si>
  <si>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</si>
  <si>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</si>
  <si>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</si>
  <si>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</si>
  <si>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</si>
  <si>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</si>
  <si>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</si>
  <si>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</si>
  <si>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</si>
  <si>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</si>
  <si>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</si>
  <si>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</si>
  <si>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</si>
  <si>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</si>
  <si>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</si>
  <si>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</si>
  <si>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</si>
  <si>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</si>
  <si>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</si>
  <si>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</si>
  <si>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</si>
  <si>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</si>
  <si>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</si>
  <si>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</si>
  <si>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</si>
  <si>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</si>
  <si>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</si>
  <si>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</si>
  <si>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</si>
  <si>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</si>
  <si>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</si>
  <si>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</si>
  <si>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</si>
  <si>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</si>
  <si>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</si>
  <si>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</si>
  <si>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</si>
  <si>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</si>
  <si>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</si>
  <si>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</si>
  <si>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</si>
  <si>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</si>
  <si>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</si>
  <si>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</si>
  <si>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</si>
  <si>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</si>
  <si>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</si>
  <si>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</si>
  <si>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</si>
  <si>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</si>
  <si>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</si>
  <si>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</si>
  <si>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</si>
  <si>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</si>
  <si>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</si>
  <si>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</si>
  <si>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</si>
  <si>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</si>
  <si>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</si>
  <si>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</si>
  <si>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</si>
  <si>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</si>
  <si>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</si>
  <si>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</si>
  <si>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</si>
  <si>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</si>
  <si>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</si>
  <si>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</si>
  <si>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</si>
  <si>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</si>
  <si>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</si>
  <si>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</si>
  <si>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</si>
  <si>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</si>
  <si>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</si>
  <si>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</si>
  <si>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</si>
  <si>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</si>
  <si>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</si>
  <si>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</si>
  <si>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</si>
  <si>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</si>
  <si>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</si>
  <si>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</si>
  <si>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</si>
  <si>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</si>
  <si>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</si>
  <si>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</si>
  <si>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</si>
  <si>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</si>
  <si>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</si>
  <si>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</si>
  <si>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</si>
  <si>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</si>
  <si>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</si>
  <si>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</si>
  <si>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</si>
  <si>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</si>
  <si>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</si>
  <si>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</si>
  <si>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</si>
  <si>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</si>
  <si>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</si>
  <si>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</si>
  <si>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</si>
  <si>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</si>
  <si>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</si>
  <si>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</si>
  <si>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</si>
  <si>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</si>
  <si>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</si>
  <si>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</si>
  <si>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</si>
  <si>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</si>
  <si>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</si>
  <si>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</si>
  <si>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</si>
  <si>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</si>
  <si>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</si>
  <si>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</si>
  <si>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</si>
  <si>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</si>
  <si>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</si>
  <si>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</si>
  <si>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</si>
  <si>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</si>
  <si>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</si>
  <si>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</si>
  <si>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</si>
  <si>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</si>
  <si>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</si>
  <si>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</si>
  <si>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</si>
  <si>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</si>
  <si>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</si>
  <si>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</si>
  <si>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</si>
  <si>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</si>
  <si>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</si>
  <si>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</si>
  <si>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</si>
  <si>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</si>
  <si>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</si>
  <si>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</si>
  <si>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</si>
  <si>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</si>
  <si>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>Roast Type Name</t>
  </si>
  <si>
    <t>Loyality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</si>
</sst>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7"/>
      <name val="Calibri"/>
      <family val="2"/>
    </font>
    <font>
      <sz val="11"/>
      <color theme="1"/>
      <name val="Calibri"/>
      <family val="2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/>
    <xf numFmtId="0" fontId="3" fillId="5" borderId="0" xfId="0" applyFont="1" applyFill="1" applyAlignment="1">
      <alignment vertical="center"/>
    </xf>
    <xf numFmtId="0" fontId="0" fillId="4" borderId="0" xfId="0" applyFont="1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41D98E-49A5-410D-B487-082D2E02EEA1}" name="Table1" displayName="Table1" ref="A1:P1001" totalsRowShown="0">
  <autoFilter ref="A1:P1001" xr:uid="{6341D98E-49A5-410D-B487-082D2E02EEA1}"/>
  <tableColumns count="16">
    <tableColumn id="1" xr3:uid="{257B449A-D377-40BB-A8DA-917AE2F0CA68}" name="Order ID" dataDxfId="6"/>
    <tableColumn id="2" xr3:uid="{BC48A882-9169-41F9-97F5-06233F7FC633}" name="Order Date" dataDxfId="5"/>
    <tableColumn id="3" xr3:uid="{D31F2540-ECAC-494A-8D30-23566232E41D}" name="Customer ID" dataDxfId="4"/>
    <tableColumn id="4" xr3:uid="{587F35E1-8976-4233-A832-DCEEE87F102B}" name="Product ID"/>
    <tableColumn id="5" xr3:uid="{18BEF08A-85A9-499B-BAB7-08E4DB6ACFE6}" name="Quantity" dataDxfId="3"/>
    <tableColumn id="6" xr3:uid="{33E04B85-0832-4931-983C-62A41032D4EF}" name="Customer Name" dataDxfId="2">
      <calculatedColumnFormula>_xlfn.XLOOKUP(C2,customers!$A$1:$A$1001,customers!$B$1:$B$1001,,0)</calculatedColumnFormula>
    </tableColumn>
    <tableColumn id="7" xr3:uid="{9B512E97-A51C-47F7-B1B7-AC3F4FB10B1D}" name="Email" dataDxfId="1">
      <calculatedColumnFormula>_xlfn.XLOOKUP(C2,customers!$A$1:$A$1001,customers!$C$1:$C$1001,,0)</calculatedColumnFormula>
    </tableColumn>
    <tableColumn id="8" xr3:uid="{0A5CE2EC-4FB0-485F-A82C-BBFACFE93AF4}" name="Country" dataDxfId="0">
      <calculatedColumnFormula>_xlfn.XLOOKUP(C2,customers!$A$1:$A$1001,customers!$G$1:$G$1001,,0)</calculatedColumnFormula>
    </tableColumn>
    <tableColumn id="9" xr3:uid="{AF6B51BB-17BA-496A-B1F0-065768345290}" name="Coffee Type">
      <calculatedColumnFormula>INDEX(products!$A$1:$G$49,MATCH(orders!$D2,products!$A$1:$A$49,0),MATCH(orders!I$1,products!$A$1:$G$1,0))</calculatedColumnFormula>
    </tableColumn>
    <tableColumn id="10" xr3:uid="{623C3B06-E380-48B2-B521-7D44D1E012BF}" name="Roast Type">
      <calculatedColumnFormula>INDEX(products!$A$1:$G$49,MATCH(orders!$D2,products!$A$1:$A$49,0),MATCH(orders!J$1,products!$A$1:$G$1,0))</calculatedColumnFormula>
    </tableColumn>
    <tableColumn id="11" xr3:uid="{A27F9CB9-9720-4B20-9FB2-5A1AD43CA4F0}" name="Size">
      <calculatedColumnFormula>INDEX(products!$A$1:$G$49,MATCH(orders!$D2,products!$A$1:$A$49,0),MATCH(orders!K$1,products!$A$1:$G$1,0))</calculatedColumnFormula>
    </tableColumn>
    <tableColumn id="12" xr3:uid="{8C98CB90-62BC-4412-B1B6-652E33792418}" name="Unit Price">
      <calculatedColumnFormula>INDEX(products!$A$1:$G$49,MATCH(orders!$D2,products!$A$1:$A$49,0),MATCH(orders!L$1,products!$A$1:$G$1,0))</calculatedColumnFormula>
    </tableColumn>
    <tableColumn id="13" xr3:uid="{54F980FA-9A56-4876-ABE2-2F5CCA75ED6D}" name="Sales">
      <calculatedColumnFormula>L2*E2</calculatedColumnFormula>
    </tableColumn>
    <tableColumn id="14" xr3:uid="{FFCC3074-380C-4A40-BA31-5B1F81505787}" name="Coffee Type Name">
      <calculatedColumnFormula>IF(I2="Rob","Robusta",IF(I2="Exc","Excelsa",IF(I2="Lib","Liberica",IF(I2="Ara","Arabica"))))</calculatedColumnFormula>
    </tableColumn>
    <tableColumn id="15" xr3:uid="{D1B0F753-0209-4656-BE72-BDECD4A4A751}" name="Roast Type Name">
      <calculatedColumnFormula>IF(J2="L","Light",IF(J2="M","Medium",IF(J2="D","Dark")))</calculatedColumnFormula>
    </tableColumn>
    <tableColumn id="16" xr3:uid="{4B4CAC8F-59F9-4EEE-A30E-82FB39638D9C}" name="Loyality Card">
      <calculatedColumnFormula>_xlfn.XLOOKUP(C2,customers!$A$2:$A$1001,customers!$I$2:$I$1001,,0)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abSelected="1" zoomScale="115" zoomScaleNormal="115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1.21875" customWidth="1"/>
    <col min="5" max="5" width="9.77734375" customWidth="1"/>
    <col min="6" max="6" width="21.88671875" bestFit="1" customWidth="1"/>
    <col min="7" max="7" width="36" bestFit="1" customWidth="1"/>
    <col min="8" max="8" width="14.33203125" bestFit="1" customWidth="1"/>
    <col min="9" max="9" width="12.21875" customWidth="1"/>
    <col min="10" max="10" width="11.44140625" customWidth="1"/>
    <col min="11" max="11" width="5.6640625" customWidth="1"/>
    <col min="12" max="12" width="10.5546875" customWidth="1"/>
    <col min="13" max="13" width="6.6640625" customWidth="1"/>
    <col min="14" max="14" width="17.5546875" customWidth="1"/>
    <col min="15" max="15" width="16.88671875" customWidth="1"/>
    <col min="16" max="16" width="13.21875" customWidth="1"/>
  </cols>
  <sheetData>
    <row r="1" spans="1:16" s="7" customFormat="1" x14ac:dyDescent="0.3">
      <c r="A1" s="4" t="s">
        <v>0</v>
      </c>
      <c r="B1" s="4" t="s">
        <v>1</v>
      </c>
      <c r="C1" s="4" t="s">
        <v>3</v>
      </c>
      <c r="D1" s="4" t="s">
        <v>11</v>
      </c>
      <c r="E1" s="4" t="s">
        <v>14</v>
      </c>
      <c r="F1" s="5" t="s">
        <v>4</v>
      </c>
      <c r="G1" s="5" t="s">
        <v>2</v>
      </c>
      <c r="H1" s="5" t="s">
        <v>7</v>
      </c>
      <c r="I1" s="8" t="s">
        <v>9</v>
      </c>
      <c r="J1" s="8" t="s">
        <v>10</v>
      </c>
      <c r="K1" s="8" t="s">
        <v>12</v>
      </c>
      <c r="L1" s="8" t="s">
        <v>13</v>
      </c>
      <c r="M1" s="8" t="s">
        <v>15</v>
      </c>
      <c r="N1" s="6" t="s">
        <v>6196</v>
      </c>
      <c r="O1" s="6" t="s">
        <v>6197</v>
      </c>
      <c r="P1" s="9" t="s">
        <v>6198</v>
      </c>
    </row>
    <row r="2" spans="1:16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_xlfn.XLOOKUP(C2,customers!$A$1:$A$1001,customers!$C$1:$C$1001,,0)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>
        <f>INDEX(products!$A$1:$G$49,MATCH(orders!$D2,products!$A$1:$A$49,0),MATCH(orders!K$1,products!$A$1:$G$1,0))</f>
        <v>1</v>
      </c>
      <c r="L2">
        <f>INDEX(products!$A$1:$G$49,MATCH(orders!$D2,products!$A$1:$A$49,0),MATCH(orders!L$1,products!$A$1:$G$1,0))</f>
        <v>9.9499999999999993</v>
      </c>
      <c r="M2">
        <f>L2*E2</f>
        <v>19.899999999999999</v>
      </c>
      <c r="N2" t="str">
        <f>IF(I2="Rob","Robusta",IF(I2="Exc","Excelsa",IF(I2="Lib","Liberica",IF(I2="Ara","Arabica"))))</f>
        <v>Robusta</v>
      </c>
      <c r="O2" t="str">
        <f>IF(J2="L","Light",IF(J2="M","Medium",IF(J2="D","Dark")))</f>
        <v>Medium</v>
      </c>
      <c r="P2" t="str">
        <f>_xlfn.XLOOKUP(C2,customers!$A$2:$A$1001,customers!$I$2:$I$1001,,0)</f>
        <v>Yes</v>
      </c>
    </row>
    <row r="3" spans="1:16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_xlfn.XLOOKUP(C3,customers!$A$1:$A$1001,customers!$C$1:$C$1001,,0)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>
        <f>INDEX(products!$A$1:$G$49,MATCH(orders!$D3,products!$A$1:$A$49,0),MATCH(orders!K$1,products!$A$1:$G$1,0))</f>
        <v>0.5</v>
      </c>
      <c r="L3">
        <f>INDEX(products!$A$1:$G$49,MATCH(orders!$D3,products!$A$1:$A$49,0),MATCH(orders!L$1,products!$A$1:$G$1,0))</f>
        <v>8.25</v>
      </c>
      <c r="M3">
        <f t="shared" ref="M3:M66" si="0">L3*E3</f>
        <v>41.25</v>
      </c>
      <c r="N3" t="str">
        <f t="shared" ref="N3:N66" si="1">IF(I3="Rob","Robusta",IF(I3="Exc","Excelsa",IF(I3="Lib","Liberica",IF(I3="Ara","Arabica"))))</f>
        <v>Excelsa</v>
      </c>
      <c r="O3" t="str">
        <f>IF(J3="L","Light",IF(J3="M","Medium",IF(J3="D","Dark")))</f>
        <v>Medium</v>
      </c>
      <c r="P3" t="str">
        <f>_xlfn.XLOOKUP(C3,customers!$A$2:$A$1001,customers!$I$2:$I$1001,,0)</f>
        <v>Yes</v>
      </c>
    </row>
    <row r="4" spans="1:16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_xlfn.XLOOKUP(C4,customers!$A$1:$A$1001,customers!$C$1:$C$1001,,0)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>
        <f>INDEX(products!$A$1:$G$49,MATCH(orders!$D4,products!$A$1:$A$49,0),MATCH(orders!K$1,products!$A$1:$G$1,0))</f>
        <v>1</v>
      </c>
      <c r="L4">
        <f>INDEX(products!$A$1:$G$49,MATCH(orders!$D4,products!$A$1:$A$49,0),MATCH(orders!L$1,products!$A$1:$G$1,0))</f>
        <v>12.95</v>
      </c>
      <c r="M4">
        <f t="shared" si="0"/>
        <v>12.95</v>
      </c>
      <c r="N4" t="str">
        <f t="shared" si="1"/>
        <v>Arabica</v>
      </c>
      <c r="O4" t="str">
        <f>IF(J4="L","Light",IF(J4="M","Medium",IF(J4="D","Dark")))</f>
        <v>Light</v>
      </c>
      <c r="P4" t="str">
        <f>_xlfn.XLOOKUP(C4,customers!$A$2:$A$1001,customers!$I$2:$I$1001,,0)</f>
        <v>Yes</v>
      </c>
    </row>
    <row r="5" spans="1:16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>
        <f>_xlfn.XLOOKUP(C5,customers!$A$1:$A$1001,customers!$C$1:$C$1001,,0)</f>
        <v>0</v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>
        <f>INDEX(products!$A$1:$G$49,MATCH(orders!$D5,products!$A$1:$A$49,0),MATCH(orders!K$1,products!$A$1:$G$1,0))</f>
        <v>1</v>
      </c>
      <c r="L5">
        <f>INDEX(products!$A$1:$G$49,MATCH(orders!$D5,products!$A$1:$A$49,0),MATCH(orders!L$1,products!$A$1:$G$1,0))</f>
        <v>13.75</v>
      </c>
      <c r="M5">
        <f t="shared" si="0"/>
        <v>27.5</v>
      </c>
      <c r="N5" t="str">
        <f t="shared" si="1"/>
        <v>Excelsa</v>
      </c>
      <c r="O5" t="str">
        <f t="shared" ref="O5:O68" si="2">IF(J5="L","Light",IF(J5="M","Medium",IF(J5="D","Dark")))</f>
        <v>Medium</v>
      </c>
      <c r="P5" t="str">
        <f>_xlfn.XLOOKUP(C5,customers!$A$2:$A$1001,customers!$I$2:$I$1001,,0)</f>
        <v>No</v>
      </c>
    </row>
    <row r="6" spans="1:16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>
        <f>_xlfn.XLOOKUP(C6,customers!$A$1:$A$1001,customers!$C$1:$C$1001,,0)</f>
        <v>0</v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>
        <f>INDEX(products!$A$1:$G$49,MATCH(orders!$D6,products!$A$1:$A$49,0),MATCH(orders!K$1,products!$A$1:$G$1,0))</f>
        <v>2.5</v>
      </c>
      <c r="L6">
        <f>INDEX(products!$A$1:$G$49,MATCH(orders!$D6,products!$A$1:$A$49,0),MATCH(orders!L$1,products!$A$1:$G$1,0))</f>
        <v>27.484999999999996</v>
      </c>
      <c r="M6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_xlfn.XLOOKUP(C6,customers!$A$2:$A$1001,customers!$I$2:$I$1001,,0)</f>
        <v>No</v>
      </c>
    </row>
    <row r="7" spans="1:16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>
        <f>_xlfn.XLOOKUP(C7,customers!$A$1:$A$1001,customers!$C$1:$C$1001,,0)</f>
        <v>0</v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>
        <f>INDEX(products!$A$1:$G$49,MATCH(orders!$D7,products!$A$1:$A$49,0),MATCH(orders!K$1,products!$A$1:$G$1,0))</f>
        <v>1</v>
      </c>
      <c r="L7">
        <f>INDEX(products!$A$1:$G$49,MATCH(orders!$D7,products!$A$1:$A$49,0),MATCH(orders!L$1,products!$A$1:$G$1,0))</f>
        <v>12.95</v>
      </c>
      <c r="M7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_xlfn.XLOOKUP(C7,customers!$A$2:$A$1001,customers!$I$2:$I$1001,,0)</f>
        <v>No</v>
      </c>
    </row>
    <row r="8" spans="1:16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_xlfn.XLOOKUP(C8,customers!$A$1:$A$1001,customers!$C$1:$C$1001,,0)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>
        <f>INDEX(products!$A$1:$G$49,MATCH(orders!$D8,products!$A$1:$A$49,0),MATCH(orders!K$1,products!$A$1:$G$1,0))</f>
        <v>0.5</v>
      </c>
      <c r="L8">
        <f>INDEX(products!$A$1:$G$49,MATCH(orders!$D8,products!$A$1:$A$49,0),MATCH(orders!L$1,products!$A$1:$G$1,0))</f>
        <v>7.29</v>
      </c>
      <c r="M8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_xlfn.XLOOKUP(C8,customers!$A$2:$A$1001,customers!$I$2:$I$1001,,0)</f>
        <v>Yes</v>
      </c>
    </row>
    <row r="9" spans="1:16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>
        <f>_xlfn.XLOOKUP(C9,customers!$A$1:$A$1001,customers!$C$1:$C$1001,,0)</f>
        <v>0</v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>
        <f>INDEX(products!$A$1:$G$49,MATCH(orders!$D9,products!$A$1:$A$49,0),MATCH(orders!K$1,products!$A$1:$G$1,0))</f>
        <v>0.2</v>
      </c>
      <c r="L9">
        <f>INDEX(products!$A$1:$G$49,MATCH(orders!$D9,products!$A$1:$A$49,0),MATCH(orders!L$1,products!$A$1:$G$1,0))</f>
        <v>4.7549999999999999</v>
      </c>
      <c r="M9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_xlfn.XLOOKUP(C9,customers!$A$2:$A$1001,customers!$I$2:$I$1001,,0)</f>
        <v>Yes</v>
      </c>
    </row>
    <row r="10" spans="1:16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_xlfn.XLOOKUP(C10,customers!$A$1:$A$1001,customers!$C$1:$C$1001,,0)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>
        <f>INDEX(products!$A$1:$G$49,MATCH(orders!$D10,products!$A$1:$A$49,0),MATCH(orders!K$1,products!$A$1:$G$1,0))</f>
        <v>0.5</v>
      </c>
      <c r="L10">
        <f>INDEX(products!$A$1:$G$49,MATCH(orders!$D10,products!$A$1:$A$49,0),MATCH(orders!L$1,products!$A$1:$G$1,0))</f>
        <v>5.97</v>
      </c>
      <c r="M10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_xlfn.XLOOKUP(C10,customers!$A$2:$A$1001,customers!$I$2:$I$1001,,0)</f>
        <v>No</v>
      </c>
    </row>
    <row r="11" spans="1:16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_xlfn.XLOOKUP(C11,customers!$A$1:$A$1001,customers!$C$1:$C$1001,,0)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>
        <f>INDEX(products!$A$1:$G$49,MATCH(orders!$D11,products!$A$1:$A$49,0),MATCH(orders!K$1,products!$A$1:$G$1,0))</f>
        <v>0.5</v>
      </c>
      <c r="L11">
        <f>INDEX(products!$A$1:$G$49,MATCH(orders!$D11,products!$A$1:$A$49,0),MATCH(orders!L$1,products!$A$1:$G$1,0))</f>
        <v>5.97</v>
      </c>
      <c r="M11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_xlfn.XLOOKUP(C11,customers!$A$2:$A$1001,customers!$I$2:$I$1001,,0)</f>
        <v>No</v>
      </c>
    </row>
    <row r="12" spans="1:16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_xlfn.XLOOKUP(C12,customers!$A$1:$A$1001,customers!$C$1:$C$1001,,0)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>
        <f>INDEX(products!$A$1:$G$49,MATCH(orders!$D12,products!$A$1:$A$49,0),MATCH(orders!K$1,products!$A$1:$G$1,0))</f>
        <v>1</v>
      </c>
      <c r="L12">
        <f>INDEX(products!$A$1:$G$49,MATCH(orders!$D12,products!$A$1:$A$49,0),MATCH(orders!L$1,products!$A$1:$G$1,0))</f>
        <v>9.9499999999999993</v>
      </c>
      <c r="M12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_xlfn.XLOOKUP(C12,customers!$A$2:$A$1001,customers!$I$2:$I$1001,,0)</f>
        <v>No</v>
      </c>
    </row>
    <row r="13" spans="1:16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_xlfn.XLOOKUP(C13,customers!$A$1:$A$1001,customers!$C$1:$C$1001,,0)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>
        <f>INDEX(products!$A$1:$G$49,MATCH(orders!$D13,products!$A$1:$A$49,0),MATCH(orders!K$1,products!$A$1:$G$1,0))</f>
        <v>2.5</v>
      </c>
      <c r="L13">
        <f>INDEX(products!$A$1:$G$49,MATCH(orders!$D13,products!$A$1:$A$49,0),MATCH(orders!L$1,products!$A$1:$G$1,0))</f>
        <v>34.154999999999994</v>
      </c>
      <c r="M13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_xlfn.XLOOKUP(C13,customers!$A$2:$A$1001,customers!$I$2:$I$1001,,0)</f>
        <v>Yes</v>
      </c>
    </row>
    <row r="14" spans="1:16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_xlfn.XLOOKUP(C14,customers!$A$1:$A$1001,customers!$C$1:$C$1001,,0)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>
        <f>INDEX(products!$A$1:$G$49,MATCH(orders!$D14,products!$A$1:$A$49,0),MATCH(orders!K$1,products!$A$1:$G$1,0))</f>
        <v>1</v>
      </c>
      <c r="L14">
        <f>INDEX(products!$A$1:$G$49,MATCH(orders!$D14,products!$A$1:$A$49,0),MATCH(orders!L$1,products!$A$1:$G$1,0))</f>
        <v>9.9499999999999993</v>
      </c>
      <c r="M14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_xlfn.XLOOKUP(C14,customers!$A$2:$A$1001,customers!$I$2:$I$1001,,0)</f>
        <v>No</v>
      </c>
    </row>
    <row r="15" spans="1:16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_xlfn.XLOOKUP(C15,customers!$A$1:$A$1001,customers!$C$1:$C$1001,,0)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>
        <f>INDEX(products!$A$1:$G$49,MATCH(orders!$D15,products!$A$1:$A$49,0),MATCH(orders!K$1,products!$A$1:$G$1,0))</f>
        <v>2.5</v>
      </c>
      <c r="L15">
        <f>INDEX(products!$A$1:$G$49,MATCH(orders!$D15,products!$A$1:$A$49,0),MATCH(orders!L$1,products!$A$1:$G$1,0))</f>
        <v>20.584999999999997</v>
      </c>
      <c r="M1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_xlfn.XLOOKUP(C15,customers!$A$2:$A$1001,customers!$I$2:$I$1001,,0)</f>
        <v>No</v>
      </c>
    </row>
    <row r="16" spans="1:16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_xlfn.XLOOKUP(C16,customers!$A$1:$A$1001,customers!$C$1:$C$1001,,0)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>
        <f>INDEX(products!$A$1:$G$49,MATCH(orders!$D16,products!$A$1:$A$49,0),MATCH(orders!K$1,products!$A$1:$G$1,0))</f>
        <v>0.2</v>
      </c>
      <c r="L16">
        <f>INDEX(products!$A$1:$G$49,MATCH(orders!$D16,products!$A$1:$A$49,0),MATCH(orders!L$1,products!$A$1:$G$1,0))</f>
        <v>3.8849999999999998</v>
      </c>
      <c r="M16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_xlfn.XLOOKUP(C16,customers!$A$2:$A$1001,customers!$I$2:$I$1001,,0)</f>
        <v>Yes</v>
      </c>
    </row>
    <row r="17" spans="1:16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_xlfn.XLOOKUP(C17,customers!$A$1:$A$1001,customers!$C$1:$C$1001,,0)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>
        <f>INDEX(products!$A$1:$G$49,MATCH(orders!$D17,products!$A$1:$A$49,0),MATCH(orders!K$1,products!$A$1:$G$1,0))</f>
        <v>2.5</v>
      </c>
      <c r="L17">
        <f>INDEX(products!$A$1:$G$49,MATCH(orders!$D17,products!$A$1:$A$49,0),MATCH(orders!L$1,products!$A$1:$G$1,0))</f>
        <v>22.884999999999998</v>
      </c>
      <c r="M17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_xlfn.XLOOKUP(C17,customers!$A$2:$A$1001,customers!$I$2:$I$1001,,0)</f>
        <v>No</v>
      </c>
    </row>
    <row r="18" spans="1:16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_xlfn.XLOOKUP(C18,customers!$A$1:$A$1001,customers!$C$1:$C$1001,,0)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>
        <f>INDEX(products!$A$1:$G$49,MATCH(orders!$D18,products!$A$1:$A$49,0),MATCH(orders!K$1,products!$A$1:$G$1,0))</f>
        <v>0.2</v>
      </c>
      <c r="L18">
        <f>INDEX(products!$A$1:$G$49,MATCH(orders!$D18,products!$A$1:$A$49,0),MATCH(orders!L$1,products!$A$1:$G$1,0))</f>
        <v>3.375</v>
      </c>
      <c r="M18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_xlfn.XLOOKUP(C18,customers!$A$2:$A$1001,customers!$I$2:$I$1001,,0)</f>
        <v>No</v>
      </c>
    </row>
    <row r="19" spans="1:16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_xlfn.XLOOKUP(C19,customers!$A$1:$A$1001,customers!$C$1:$C$1001,,0)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>
        <f>INDEX(products!$A$1:$G$49,MATCH(orders!$D19,products!$A$1:$A$49,0),MATCH(orders!K$1,products!$A$1:$G$1,0))</f>
        <v>1</v>
      </c>
      <c r="L19">
        <f>INDEX(products!$A$1:$G$49,MATCH(orders!$D19,products!$A$1:$A$49,0),MATCH(orders!L$1,products!$A$1:$G$1,0))</f>
        <v>12.95</v>
      </c>
      <c r="M19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_xlfn.XLOOKUP(C19,customers!$A$2:$A$1001,customers!$I$2:$I$1001,,0)</f>
        <v>No</v>
      </c>
    </row>
    <row r="20" spans="1:16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_xlfn.XLOOKUP(C20,customers!$A$1:$A$1001,customers!$C$1:$C$1001,,0)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>
        <f>INDEX(products!$A$1:$G$49,MATCH(orders!$D20,products!$A$1:$A$49,0),MATCH(orders!K$1,products!$A$1:$G$1,0))</f>
        <v>2.5</v>
      </c>
      <c r="L20">
        <f>INDEX(products!$A$1:$G$49,MATCH(orders!$D20,products!$A$1:$A$49,0),MATCH(orders!L$1,products!$A$1:$G$1,0))</f>
        <v>20.584999999999997</v>
      </c>
      <c r="M20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_xlfn.XLOOKUP(C20,customers!$A$2:$A$1001,customers!$I$2:$I$1001,,0)</f>
        <v>Yes</v>
      </c>
    </row>
    <row r="21" spans="1:16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_xlfn.XLOOKUP(C21,customers!$A$1:$A$1001,customers!$C$1:$C$1001,,0)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>
        <f>INDEX(products!$A$1:$G$49,MATCH(orders!$D21,products!$A$1:$A$49,0),MATCH(orders!K$1,products!$A$1:$G$1,0))</f>
        <v>0.2</v>
      </c>
      <c r="L21">
        <f>INDEX(products!$A$1:$G$49,MATCH(orders!$D21,products!$A$1:$A$49,0),MATCH(orders!L$1,products!$A$1:$G$1,0))</f>
        <v>3.375</v>
      </c>
      <c r="M21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_xlfn.XLOOKUP(C21,customers!$A$2:$A$1001,customers!$I$2:$I$1001,,0)</f>
        <v>Yes</v>
      </c>
    </row>
    <row r="22" spans="1:16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_xlfn.XLOOKUP(C22,customers!$A$1:$A$1001,customers!$C$1:$C$1001,,0)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>
        <f>INDEX(products!$A$1:$G$49,MATCH(orders!$D22,products!$A$1:$A$49,0),MATCH(orders!K$1,products!$A$1:$G$1,0))</f>
        <v>0.2</v>
      </c>
      <c r="L22">
        <f>INDEX(products!$A$1:$G$49,MATCH(orders!$D22,products!$A$1:$A$49,0),MATCH(orders!L$1,products!$A$1:$G$1,0))</f>
        <v>3.645</v>
      </c>
      <c r="M22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_xlfn.XLOOKUP(C22,customers!$A$2:$A$1001,customers!$I$2:$I$1001,,0)</f>
        <v>Yes</v>
      </c>
    </row>
    <row r="23" spans="1:16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_xlfn.XLOOKUP(C23,customers!$A$1:$A$1001,customers!$C$1:$C$1001,,0)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>
        <f>INDEX(products!$A$1:$G$49,MATCH(orders!$D23,products!$A$1:$A$49,0),MATCH(orders!K$1,products!$A$1:$G$1,0))</f>
        <v>0.2</v>
      </c>
      <c r="L23">
        <f>INDEX(products!$A$1:$G$49,MATCH(orders!$D23,products!$A$1:$A$49,0),MATCH(orders!L$1,products!$A$1:$G$1,0))</f>
        <v>2.9849999999999999</v>
      </c>
      <c r="M23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_xlfn.XLOOKUP(C23,customers!$A$2:$A$1001,customers!$I$2:$I$1001,,0)</f>
        <v>No</v>
      </c>
    </row>
    <row r="24" spans="1:16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_xlfn.XLOOKUP(C24,customers!$A$1:$A$1001,customers!$C$1:$C$1001,,0)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>
        <f>INDEX(products!$A$1:$G$49,MATCH(orders!$D24,products!$A$1:$A$49,0),MATCH(orders!K$1,products!$A$1:$G$1,0))</f>
        <v>2.5</v>
      </c>
      <c r="L24">
        <f>INDEX(products!$A$1:$G$49,MATCH(orders!$D24,products!$A$1:$A$49,0),MATCH(orders!L$1,products!$A$1:$G$1,0))</f>
        <v>22.884999999999998</v>
      </c>
      <c r="M24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_xlfn.XLOOKUP(C24,customers!$A$2:$A$1001,customers!$I$2:$I$1001,,0)</f>
        <v>Yes</v>
      </c>
    </row>
    <row r="25" spans="1:16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_xlfn.XLOOKUP(C25,customers!$A$1:$A$1001,customers!$C$1:$C$1001,,0)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>
        <f>INDEX(products!$A$1:$G$49,MATCH(orders!$D25,products!$A$1:$A$49,0),MATCH(orders!K$1,products!$A$1:$G$1,0))</f>
        <v>0.2</v>
      </c>
      <c r="L25">
        <f>INDEX(products!$A$1:$G$49,MATCH(orders!$D25,products!$A$1:$A$49,0),MATCH(orders!L$1,products!$A$1:$G$1,0))</f>
        <v>2.9849999999999999</v>
      </c>
      <c r="M2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_xlfn.XLOOKUP(C25,customers!$A$2:$A$1001,customers!$I$2:$I$1001,,0)</f>
        <v>Yes</v>
      </c>
    </row>
    <row r="26" spans="1:16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_xlfn.XLOOKUP(C26,customers!$A$1:$A$1001,customers!$C$1:$C$1001,,0)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>
        <f>INDEX(products!$A$1:$G$49,MATCH(orders!$D26,products!$A$1:$A$49,0),MATCH(orders!K$1,products!$A$1:$G$1,0))</f>
        <v>1</v>
      </c>
      <c r="L26">
        <f>INDEX(products!$A$1:$G$49,MATCH(orders!$D26,products!$A$1:$A$49,0),MATCH(orders!L$1,products!$A$1:$G$1,0))</f>
        <v>11.25</v>
      </c>
      <c r="M26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_xlfn.XLOOKUP(C26,customers!$A$2:$A$1001,customers!$I$2:$I$1001,,0)</f>
        <v>No</v>
      </c>
    </row>
    <row r="27" spans="1:16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>
        <f>_xlfn.XLOOKUP(C27,customers!$A$1:$A$1001,customers!$C$1:$C$1001,,0)</f>
        <v>0</v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>
        <f>INDEX(products!$A$1:$G$49,MATCH(orders!$D27,products!$A$1:$A$49,0),MATCH(orders!K$1,products!$A$1:$G$1,0))</f>
        <v>0.2</v>
      </c>
      <c r="L27">
        <f>INDEX(products!$A$1:$G$49,MATCH(orders!$D27,products!$A$1:$A$49,0),MATCH(orders!L$1,products!$A$1:$G$1,0))</f>
        <v>4.125</v>
      </c>
      <c r="M27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_xlfn.XLOOKUP(C27,customers!$A$2:$A$1001,customers!$I$2:$I$1001,,0)</f>
        <v>Yes</v>
      </c>
    </row>
    <row r="28" spans="1:16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_xlfn.XLOOKUP(C28,customers!$A$1:$A$1001,customers!$C$1:$C$1001,,0)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>
        <f>INDEX(products!$A$1:$G$49,MATCH(orders!$D28,products!$A$1:$A$49,0),MATCH(orders!K$1,products!$A$1:$G$1,0))</f>
        <v>0.5</v>
      </c>
      <c r="L28">
        <f>INDEX(products!$A$1:$G$49,MATCH(orders!$D28,products!$A$1:$A$49,0),MATCH(orders!L$1,products!$A$1:$G$1,0))</f>
        <v>6.75</v>
      </c>
      <c r="M28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_xlfn.XLOOKUP(C28,customers!$A$2:$A$1001,customers!$I$2:$I$1001,,0)</f>
        <v>Yes</v>
      </c>
    </row>
    <row r="29" spans="1:16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_xlfn.XLOOKUP(C29,customers!$A$1:$A$1001,customers!$C$1:$C$1001,,0)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>
        <f>INDEX(products!$A$1:$G$49,MATCH(orders!$D29,products!$A$1:$A$49,0),MATCH(orders!K$1,products!$A$1:$G$1,0))</f>
        <v>0.2</v>
      </c>
      <c r="L29">
        <f>INDEX(products!$A$1:$G$49,MATCH(orders!$D29,products!$A$1:$A$49,0),MATCH(orders!L$1,products!$A$1:$G$1,0))</f>
        <v>3.375</v>
      </c>
      <c r="M29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_xlfn.XLOOKUP(C29,customers!$A$2:$A$1001,customers!$I$2:$I$1001,,0)</f>
        <v>No</v>
      </c>
    </row>
    <row r="30" spans="1:16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_xlfn.XLOOKUP(C30,customers!$A$1:$A$1001,customers!$C$1:$C$1001,,0)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>
        <f>INDEX(products!$A$1:$G$49,MATCH(orders!$D30,products!$A$1:$A$49,0),MATCH(orders!K$1,products!$A$1:$G$1,0))</f>
        <v>0.5</v>
      </c>
      <c r="L30">
        <f>INDEX(products!$A$1:$G$49,MATCH(orders!$D30,products!$A$1:$A$49,0),MATCH(orders!L$1,products!$A$1:$G$1,0))</f>
        <v>5.97</v>
      </c>
      <c r="M30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_xlfn.XLOOKUP(C30,customers!$A$2:$A$1001,customers!$I$2:$I$1001,,0)</f>
        <v>No</v>
      </c>
    </row>
    <row r="31" spans="1:16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_xlfn.XLOOKUP(C31,customers!$A$1:$A$1001,customers!$C$1:$C$1001,,0)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>
        <f>INDEX(products!$A$1:$G$49,MATCH(orders!$D31,products!$A$1:$A$49,0),MATCH(orders!K$1,products!$A$1:$G$1,0))</f>
        <v>1</v>
      </c>
      <c r="L31">
        <f>INDEX(products!$A$1:$G$49,MATCH(orders!$D31,products!$A$1:$A$49,0),MATCH(orders!L$1,products!$A$1:$G$1,0))</f>
        <v>9.9499999999999993</v>
      </c>
      <c r="M31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_xlfn.XLOOKUP(C31,customers!$A$2:$A$1001,customers!$I$2:$I$1001,,0)</f>
        <v>Yes</v>
      </c>
    </row>
    <row r="32" spans="1:16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>
        <f>_xlfn.XLOOKUP(C32,customers!$A$1:$A$1001,customers!$C$1:$C$1001,,0)</f>
        <v>0</v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>
        <f>INDEX(products!$A$1:$G$49,MATCH(orders!$D32,products!$A$1:$A$49,0),MATCH(orders!K$1,products!$A$1:$G$1,0))</f>
        <v>0.2</v>
      </c>
      <c r="L32">
        <f>INDEX(products!$A$1:$G$49,MATCH(orders!$D32,products!$A$1:$A$49,0),MATCH(orders!L$1,products!$A$1:$G$1,0))</f>
        <v>4.3650000000000002</v>
      </c>
      <c r="M32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_xlfn.XLOOKUP(C32,customers!$A$2:$A$1001,customers!$I$2:$I$1001,,0)</f>
        <v>No</v>
      </c>
    </row>
    <row r="33" spans="1:16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>
        <f>_xlfn.XLOOKUP(C33,customers!$A$1:$A$1001,customers!$C$1:$C$1001,,0)</f>
        <v>0</v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>
        <f>INDEX(products!$A$1:$G$49,MATCH(orders!$D33,products!$A$1:$A$49,0),MATCH(orders!K$1,products!$A$1:$G$1,0))</f>
        <v>0.5</v>
      </c>
      <c r="L33">
        <f>INDEX(products!$A$1:$G$49,MATCH(orders!$D33,products!$A$1:$A$49,0),MATCH(orders!L$1,products!$A$1:$G$1,0))</f>
        <v>5.97</v>
      </c>
      <c r="M33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_xlfn.XLOOKUP(C33,customers!$A$2:$A$1001,customers!$I$2:$I$1001,,0)</f>
        <v>No</v>
      </c>
    </row>
    <row r="34" spans="1:16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>
        <f>_xlfn.XLOOKUP(C34,customers!$A$1:$A$1001,customers!$C$1:$C$1001,,0)</f>
        <v>0</v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>
        <f>INDEX(products!$A$1:$G$49,MATCH(orders!$D34,products!$A$1:$A$49,0),MATCH(orders!K$1,products!$A$1:$G$1,0))</f>
        <v>0.5</v>
      </c>
      <c r="L34">
        <f>INDEX(products!$A$1:$G$49,MATCH(orders!$D34,products!$A$1:$A$49,0),MATCH(orders!L$1,products!$A$1:$G$1,0))</f>
        <v>8.73</v>
      </c>
      <c r="M34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_xlfn.XLOOKUP(C34,customers!$A$2:$A$1001,customers!$I$2:$I$1001,,0)</f>
        <v>No</v>
      </c>
    </row>
    <row r="35" spans="1:16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_xlfn.XLOOKUP(C35,customers!$A$1:$A$1001,customers!$C$1:$C$1001,,0)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>
        <f>INDEX(products!$A$1:$G$49,MATCH(orders!$D35,products!$A$1:$A$49,0),MATCH(orders!K$1,products!$A$1:$G$1,0))</f>
        <v>0.2</v>
      </c>
      <c r="L35">
        <f>INDEX(products!$A$1:$G$49,MATCH(orders!$D35,products!$A$1:$A$49,0),MATCH(orders!L$1,products!$A$1:$G$1,0))</f>
        <v>4.7549999999999999</v>
      </c>
      <c r="M3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_xlfn.XLOOKUP(C35,customers!$A$2:$A$1001,customers!$I$2:$I$1001,,0)</f>
        <v>No</v>
      </c>
    </row>
    <row r="36" spans="1:16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_xlfn.XLOOKUP(C36,customers!$A$1:$A$1001,customers!$C$1:$C$1001,,0)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>
        <f>INDEX(products!$A$1:$G$49,MATCH(orders!$D36,products!$A$1:$A$49,0),MATCH(orders!K$1,products!$A$1:$G$1,0))</f>
        <v>0.5</v>
      </c>
      <c r="L36">
        <f>INDEX(products!$A$1:$G$49,MATCH(orders!$D36,products!$A$1:$A$49,0),MATCH(orders!L$1,products!$A$1:$G$1,0))</f>
        <v>9.51</v>
      </c>
      <c r="M36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_xlfn.XLOOKUP(C36,customers!$A$2:$A$1001,customers!$I$2:$I$1001,,0)</f>
        <v>Yes</v>
      </c>
    </row>
    <row r="37" spans="1:16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_xlfn.XLOOKUP(C37,customers!$A$1:$A$1001,customers!$C$1:$C$1001,,0)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>
        <f>INDEX(products!$A$1:$G$49,MATCH(orders!$D37,products!$A$1:$A$49,0),MATCH(orders!K$1,products!$A$1:$G$1,0))</f>
        <v>0.5</v>
      </c>
      <c r="L37">
        <f>INDEX(products!$A$1:$G$49,MATCH(orders!$D37,products!$A$1:$A$49,0),MATCH(orders!L$1,products!$A$1:$G$1,0))</f>
        <v>5.97</v>
      </c>
      <c r="M37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_xlfn.XLOOKUP(C37,customers!$A$2:$A$1001,customers!$I$2:$I$1001,,0)</f>
        <v>No</v>
      </c>
    </row>
    <row r="38" spans="1:16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_xlfn.XLOOKUP(C38,customers!$A$1:$A$1001,customers!$C$1:$C$1001,,0)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>
        <f>INDEX(products!$A$1:$G$49,MATCH(orders!$D38,products!$A$1:$A$49,0),MATCH(orders!K$1,products!$A$1:$G$1,0))</f>
        <v>0.2</v>
      </c>
      <c r="L38">
        <f>INDEX(products!$A$1:$G$49,MATCH(orders!$D38,products!$A$1:$A$49,0),MATCH(orders!L$1,products!$A$1:$G$1,0))</f>
        <v>4.3650000000000002</v>
      </c>
      <c r="M38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_xlfn.XLOOKUP(C38,customers!$A$2:$A$1001,customers!$I$2:$I$1001,,0)</f>
        <v>No</v>
      </c>
    </row>
    <row r="39" spans="1:16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_xlfn.XLOOKUP(C39,customers!$A$1:$A$1001,customers!$C$1:$C$1001,,0)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>
        <f>INDEX(products!$A$1:$G$49,MATCH(orders!$D39,products!$A$1:$A$49,0),MATCH(orders!K$1,products!$A$1:$G$1,0))</f>
        <v>0.5</v>
      </c>
      <c r="L39">
        <f>INDEX(products!$A$1:$G$49,MATCH(orders!$D39,products!$A$1:$A$49,0),MATCH(orders!L$1,products!$A$1:$G$1,0))</f>
        <v>9.51</v>
      </c>
      <c r="M39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_xlfn.XLOOKUP(C39,customers!$A$2:$A$1001,customers!$I$2:$I$1001,,0)</f>
        <v>No</v>
      </c>
    </row>
    <row r="40" spans="1:16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_xlfn.XLOOKUP(C40,customers!$A$1:$A$1001,customers!$C$1:$C$1001,,0)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>
        <f>INDEX(products!$A$1:$G$49,MATCH(orders!$D40,products!$A$1:$A$49,0),MATCH(orders!K$1,products!$A$1:$G$1,0))</f>
        <v>2.5</v>
      </c>
      <c r="L40">
        <f>INDEX(products!$A$1:$G$49,MATCH(orders!$D40,products!$A$1:$A$49,0),MATCH(orders!L$1,products!$A$1:$G$1,0))</f>
        <v>22.884999999999998</v>
      </c>
      <c r="M40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_xlfn.XLOOKUP(C40,customers!$A$2:$A$1001,customers!$I$2:$I$1001,,0)</f>
        <v>No</v>
      </c>
    </row>
    <row r="41" spans="1:16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>
        <f>_xlfn.XLOOKUP(C41,customers!$A$1:$A$1001,customers!$C$1:$C$1001,,0)</f>
        <v>0</v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>
        <f>INDEX(products!$A$1:$G$49,MATCH(orders!$D41,products!$A$1:$A$49,0),MATCH(orders!K$1,products!$A$1:$G$1,0))</f>
        <v>1</v>
      </c>
      <c r="L41">
        <f>INDEX(products!$A$1:$G$49,MATCH(orders!$D41,products!$A$1:$A$49,0),MATCH(orders!L$1,products!$A$1:$G$1,0))</f>
        <v>9.9499999999999993</v>
      </c>
      <c r="M41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_xlfn.XLOOKUP(C41,customers!$A$2:$A$1001,customers!$I$2:$I$1001,,0)</f>
        <v>Yes</v>
      </c>
    </row>
    <row r="42" spans="1:16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>
        <f>_xlfn.XLOOKUP(C42,customers!$A$1:$A$1001,customers!$C$1:$C$1001,,0)</f>
        <v>0</v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>
        <f>INDEX(products!$A$1:$G$49,MATCH(orders!$D42,products!$A$1:$A$49,0),MATCH(orders!K$1,products!$A$1:$G$1,0))</f>
        <v>1</v>
      </c>
      <c r="L42">
        <f>INDEX(products!$A$1:$G$49,MATCH(orders!$D42,products!$A$1:$A$49,0),MATCH(orders!L$1,products!$A$1:$G$1,0))</f>
        <v>14.55</v>
      </c>
      <c r="M42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_xlfn.XLOOKUP(C42,customers!$A$2:$A$1001,customers!$I$2:$I$1001,,0)</f>
        <v>No</v>
      </c>
    </row>
    <row r="43" spans="1:16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_xlfn.XLOOKUP(C43,customers!$A$1:$A$1001,customers!$C$1:$C$1001,,0)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>
        <f>INDEX(products!$A$1:$G$49,MATCH(orders!$D43,products!$A$1:$A$49,0),MATCH(orders!K$1,products!$A$1:$G$1,0))</f>
        <v>0.2</v>
      </c>
      <c r="L43">
        <f>INDEX(products!$A$1:$G$49,MATCH(orders!$D43,products!$A$1:$A$49,0),MATCH(orders!L$1,products!$A$1:$G$1,0))</f>
        <v>3.645</v>
      </c>
      <c r="M43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_xlfn.XLOOKUP(C43,customers!$A$2:$A$1001,customers!$I$2:$I$1001,,0)</f>
        <v>Yes</v>
      </c>
    </row>
    <row r="44" spans="1:16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_xlfn.XLOOKUP(C44,customers!$A$1:$A$1001,customers!$C$1:$C$1001,,0)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>
        <f>INDEX(products!$A$1:$G$49,MATCH(orders!$D44,products!$A$1:$A$49,0),MATCH(orders!K$1,products!$A$1:$G$1,0))</f>
        <v>0.2</v>
      </c>
      <c r="L44">
        <f>INDEX(products!$A$1:$G$49,MATCH(orders!$D44,products!$A$1:$A$49,0),MATCH(orders!L$1,products!$A$1:$G$1,0))</f>
        <v>2.6849999999999996</v>
      </c>
      <c r="M44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_xlfn.XLOOKUP(C44,customers!$A$2:$A$1001,customers!$I$2:$I$1001,,0)</f>
        <v>Yes</v>
      </c>
    </row>
    <row r="45" spans="1:16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>
        <f>_xlfn.XLOOKUP(C45,customers!$A$1:$A$1001,customers!$C$1:$C$1001,,0)</f>
        <v>0</v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>
        <f>INDEX(products!$A$1:$G$49,MATCH(orders!$D45,products!$A$1:$A$49,0),MATCH(orders!K$1,products!$A$1:$G$1,0))</f>
        <v>2.5</v>
      </c>
      <c r="L45">
        <f>INDEX(products!$A$1:$G$49,MATCH(orders!$D45,products!$A$1:$A$49,0),MATCH(orders!L$1,products!$A$1:$G$1,0))</f>
        <v>36.454999999999998</v>
      </c>
      <c r="M4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_xlfn.XLOOKUP(C45,customers!$A$2:$A$1001,customers!$I$2:$I$1001,,0)</f>
        <v>No</v>
      </c>
    </row>
    <row r="46" spans="1:16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_xlfn.XLOOKUP(C46,customers!$A$1:$A$1001,customers!$C$1:$C$1001,,0)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>
        <f>INDEX(products!$A$1:$G$49,MATCH(orders!$D46,products!$A$1:$A$49,0),MATCH(orders!K$1,products!$A$1:$G$1,0))</f>
        <v>0.5</v>
      </c>
      <c r="L46">
        <f>INDEX(products!$A$1:$G$49,MATCH(orders!$D46,products!$A$1:$A$49,0),MATCH(orders!L$1,products!$A$1:$G$1,0))</f>
        <v>8.25</v>
      </c>
      <c r="M46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_xlfn.XLOOKUP(C46,customers!$A$2:$A$1001,customers!$I$2:$I$1001,,0)</f>
        <v>Yes</v>
      </c>
    </row>
    <row r="47" spans="1:16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_xlfn.XLOOKUP(C47,customers!$A$1:$A$1001,customers!$C$1:$C$1001,,0)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>
        <f>INDEX(products!$A$1:$G$49,MATCH(orders!$D47,products!$A$1:$A$49,0),MATCH(orders!K$1,products!$A$1:$G$1,0))</f>
        <v>2.5</v>
      </c>
      <c r="L47">
        <f>INDEX(products!$A$1:$G$49,MATCH(orders!$D47,products!$A$1:$A$49,0),MATCH(orders!L$1,products!$A$1:$G$1,0))</f>
        <v>29.784999999999997</v>
      </c>
      <c r="M47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_xlfn.XLOOKUP(C47,customers!$A$2:$A$1001,customers!$I$2:$I$1001,,0)</f>
        <v>No</v>
      </c>
    </row>
    <row r="48" spans="1:16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>
        <f>_xlfn.XLOOKUP(C48,customers!$A$1:$A$1001,customers!$C$1:$C$1001,,0)</f>
        <v>0</v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>
        <f>INDEX(products!$A$1:$G$49,MATCH(orders!$D48,products!$A$1:$A$49,0),MATCH(orders!K$1,products!$A$1:$G$1,0))</f>
        <v>2.5</v>
      </c>
      <c r="L48">
        <f>INDEX(products!$A$1:$G$49,MATCH(orders!$D48,products!$A$1:$A$49,0),MATCH(orders!L$1,products!$A$1:$G$1,0))</f>
        <v>31.624999999999996</v>
      </c>
      <c r="M48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_xlfn.XLOOKUP(C48,customers!$A$2:$A$1001,customers!$I$2:$I$1001,,0)</f>
        <v>Yes</v>
      </c>
    </row>
    <row r="49" spans="1:16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_xlfn.XLOOKUP(C49,customers!$A$1:$A$1001,customers!$C$1:$C$1001,,0)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>
        <f>INDEX(products!$A$1:$G$49,MATCH(orders!$D49,products!$A$1:$A$49,0),MATCH(orders!K$1,products!$A$1:$G$1,0))</f>
        <v>0.2</v>
      </c>
      <c r="L49">
        <f>INDEX(products!$A$1:$G$49,MATCH(orders!$D49,products!$A$1:$A$49,0),MATCH(orders!L$1,products!$A$1:$G$1,0))</f>
        <v>3.8849999999999998</v>
      </c>
      <c r="M49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_xlfn.XLOOKUP(C49,customers!$A$2:$A$1001,customers!$I$2:$I$1001,,0)</f>
        <v>Yes</v>
      </c>
    </row>
    <row r="50" spans="1:16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_xlfn.XLOOKUP(C50,customers!$A$1:$A$1001,customers!$C$1:$C$1001,,0)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>
        <f>INDEX(products!$A$1:$G$49,MATCH(orders!$D50,products!$A$1:$A$49,0),MATCH(orders!K$1,products!$A$1:$G$1,0))</f>
        <v>2.5</v>
      </c>
      <c r="L50">
        <f>INDEX(products!$A$1:$G$49,MATCH(orders!$D50,products!$A$1:$A$49,0),MATCH(orders!L$1,products!$A$1:$G$1,0))</f>
        <v>22.884999999999998</v>
      </c>
      <c r="M50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_xlfn.XLOOKUP(C50,customers!$A$2:$A$1001,customers!$I$2:$I$1001,,0)</f>
        <v>No</v>
      </c>
    </row>
    <row r="51" spans="1:16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_xlfn.XLOOKUP(C51,customers!$A$1:$A$1001,customers!$C$1:$C$1001,,0)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>
        <f>INDEX(products!$A$1:$G$49,MATCH(orders!$D51,products!$A$1:$A$49,0),MATCH(orders!K$1,products!$A$1:$G$1,0))</f>
        <v>1</v>
      </c>
      <c r="L51">
        <f>INDEX(products!$A$1:$G$49,MATCH(orders!$D51,products!$A$1:$A$49,0),MATCH(orders!L$1,products!$A$1:$G$1,0))</f>
        <v>12.95</v>
      </c>
      <c r="M51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_xlfn.XLOOKUP(C51,customers!$A$2:$A$1001,customers!$I$2:$I$1001,,0)</f>
        <v>No</v>
      </c>
    </row>
    <row r="52" spans="1:16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_xlfn.XLOOKUP(C52,customers!$A$1:$A$1001,customers!$C$1:$C$1001,,0)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>
        <f>INDEX(products!$A$1:$G$49,MATCH(orders!$D52,products!$A$1:$A$49,0),MATCH(orders!K$1,products!$A$1:$G$1,0))</f>
        <v>0.5</v>
      </c>
      <c r="L52">
        <f>INDEX(products!$A$1:$G$49,MATCH(orders!$D52,products!$A$1:$A$49,0),MATCH(orders!L$1,products!$A$1:$G$1,0))</f>
        <v>7.77</v>
      </c>
      <c r="M52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_xlfn.XLOOKUP(C52,customers!$A$2:$A$1001,customers!$I$2:$I$1001,,0)</f>
        <v>No</v>
      </c>
    </row>
    <row r="53" spans="1:16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_xlfn.XLOOKUP(C53,customers!$A$1:$A$1001,customers!$C$1:$C$1001,,0)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>
        <f>INDEX(products!$A$1:$G$49,MATCH(orders!$D53,products!$A$1:$A$49,0),MATCH(orders!K$1,products!$A$1:$G$1,0))</f>
        <v>2.5</v>
      </c>
      <c r="L53">
        <f>INDEX(products!$A$1:$G$49,MATCH(orders!$D53,products!$A$1:$A$49,0),MATCH(orders!L$1,products!$A$1:$G$1,0))</f>
        <v>36.454999999999998</v>
      </c>
      <c r="M53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_xlfn.XLOOKUP(C53,customers!$A$2:$A$1001,customers!$I$2:$I$1001,,0)</f>
        <v>Yes</v>
      </c>
    </row>
    <row r="54" spans="1:16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_xlfn.XLOOKUP(C54,customers!$A$1:$A$1001,customers!$C$1:$C$1001,,0)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>
        <f>INDEX(products!$A$1:$G$49,MATCH(orders!$D54,products!$A$1:$A$49,0),MATCH(orders!K$1,products!$A$1:$G$1,0))</f>
        <v>0.5</v>
      </c>
      <c r="L54">
        <f>INDEX(products!$A$1:$G$49,MATCH(orders!$D54,products!$A$1:$A$49,0),MATCH(orders!L$1,products!$A$1:$G$1,0))</f>
        <v>5.97</v>
      </c>
      <c r="M54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_xlfn.XLOOKUP(C54,customers!$A$2:$A$1001,customers!$I$2:$I$1001,,0)</f>
        <v>No</v>
      </c>
    </row>
    <row r="55" spans="1:16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_xlfn.XLOOKUP(C55,customers!$A$1:$A$1001,customers!$C$1:$C$1001,,0)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>
        <f>INDEX(products!$A$1:$G$49,MATCH(orders!$D55,products!$A$1:$A$49,0),MATCH(orders!K$1,products!$A$1:$G$1,0))</f>
        <v>2.5</v>
      </c>
      <c r="L55">
        <f>INDEX(products!$A$1:$G$49,MATCH(orders!$D55,products!$A$1:$A$49,0),MATCH(orders!L$1,products!$A$1:$G$1,0))</f>
        <v>36.454999999999998</v>
      </c>
      <c r="M5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_xlfn.XLOOKUP(C55,customers!$A$2:$A$1001,customers!$I$2:$I$1001,,0)</f>
        <v>No</v>
      </c>
    </row>
    <row r="56" spans="1:16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_xlfn.XLOOKUP(C56,customers!$A$1:$A$1001,customers!$C$1:$C$1001,,0)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>
        <f>INDEX(products!$A$1:$G$49,MATCH(orders!$D56,products!$A$1:$A$49,0),MATCH(orders!K$1,products!$A$1:$G$1,0))</f>
        <v>1</v>
      </c>
      <c r="L56">
        <f>INDEX(products!$A$1:$G$49,MATCH(orders!$D56,products!$A$1:$A$49,0),MATCH(orders!L$1,products!$A$1:$G$1,0))</f>
        <v>14.55</v>
      </c>
      <c r="M56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_xlfn.XLOOKUP(C56,customers!$A$2:$A$1001,customers!$I$2:$I$1001,,0)</f>
        <v>No</v>
      </c>
    </row>
    <row r="57" spans="1:16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>
        <f>_xlfn.XLOOKUP(C57,customers!$A$1:$A$1001,customers!$C$1:$C$1001,,0)</f>
        <v>0</v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>
        <f>INDEX(products!$A$1:$G$49,MATCH(orders!$D57,products!$A$1:$A$49,0),MATCH(orders!K$1,products!$A$1:$G$1,0))</f>
        <v>1</v>
      </c>
      <c r="L57">
        <f>INDEX(products!$A$1:$G$49,MATCH(orders!$D57,products!$A$1:$A$49,0),MATCH(orders!L$1,products!$A$1:$G$1,0))</f>
        <v>15.85</v>
      </c>
      <c r="M57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_xlfn.XLOOKUP(C57,customers!$A$2:$A$1001,customers!$I$2:$I$1001,,0)</f>
        <v>No</v>
      </c>
    </row>
    <row r="58" spans="1:16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_xlfn.XLOOKUP(C58,customers!$A$1:$A$1001,customers!$C$1:$C$1001,,0)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>
        <f>INDEX(products!$A$1:$G$49,MATCH(orders!$D58,products!$A$1:$A$49,0),MATCH(orders!K$1,products!$A$1:$G$1,0))</f>
        <v>0.2</v>
      </c>
      <c r="L58">
        <f>INDEX(products!$A$1:$G$49,MATCH(orders!$D58,products!$A$1:$A$49,0),MATCH(orders!L$1,products!$A$1:$G$1,0))</f>
        <v>3.645</v>
      </c>
      <c r="M58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_xlfn.XLOOKUP(C58,customers!$A$2:$A$1001,customers!$I$2:$I$1001,,0)</f>
        <v>Yes</v>
      </c>
    </row>
    <row r="59" spans="1:16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_xlfn.XLOOKUP(C59,customers!$A$1:$A$1001,customers!$C$1:$C$1001,,0)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>
        <f>INDEX(products!$A$1:$G$49,MATCH(orders!$D59,products!$A$1:$A$49,0),MATCH(orders!K$1,products!$A$1:$G$1,0))</f>
        <v>1</v>
      </c>
      <c r="L59">
        <f>INDEX(products!$A$1:$G$49,MATCH(orders!$D59,products!$A$1:$A$49,0),MATCH(orders!L$1,products!$A$1:$G$1,0))</f>
        <v>14.85</v>
      </c>
      <c r="M59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_xlfn.XLOOKUP(C59,customers!$A$2:$A$1001,customers!$I$2:$I$1001,,0)</f>
        <v>No</v>
      </c>
    </row>
    <row r="60" spans="1:16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>
        <f>_xlfn.XLOOKUP(C60,customers!$A$1:$A$1001,customers!$C$1:$C$1001,,0)</f>
        <v>0</v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>
        <f>INDEX(products!$A$1:$G$49,MATCH(orders!$D60,products!$A$1:$A$49,0),MATCH(orders!K$1,products!$A$1:$G$1,0))</f>
        <v>2.5</v>
      </c>
      <c r="L60">
        <f>INDEX(products!$A$1:$G$49,MATCH(orders!$D60,products!$A$1:$A$49,0),MATCH(orders!L$1,products!$A$1:$G$1,0))</f>
        <v>29.784999999999997</v>
      </c>
      <c r="M60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_xlfn.XLOOKUP(C60,customers!$A$2:$A$1001,customers!$I$2:$I$1001,,0)</f>
        <v>Yes</v>
      </c>
    </row>
    <row r="61" spans="1:16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_xlfn.XLOOKUP(C61,customers!$A$1:$A$1001,customers!$C$1:$C$1001,,0)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>
        <f>INDEX(products!$A$1:$G$49,MATCH(orders!$D61,products!$A$1:$A$49,0),MATCH(orders!K$1,products!$A$1:$G$1,0))</f>
        <v>0.5</v>
      </c>
      <c r="L61">
        <f>INDEX(products!$A$1:$G$49,MATCH(orders!$D61,products!$A$1:$A$49,0),MATCH(orders!L$1,products!$A$1:$G$1,0))</f>
        <v>8.73</v>
      </c>
      <c r="M61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_xlfn.XLOOKUP(C61,customers!$A$2:$A$1001,customers!$I$2:$I$1001,,0)</f>
        <v>Yes</v>
      </c>
    </row>
    <row r="62" spans="1:16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_xlfn.XLOOKUP(C62,customers!$A$1:$A$1001,customers!$C$1:$C$1001,,0)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>
        <f>INDEX(products!$A$1:$G$49,MATCH(orders!$D62,products!$A$1:$A$49,0),MATCH(orders!K$1,products!$A$1:$G$1,0))</f>
        <v>2.5</v>
      </c>
      <c r="L62">
        <f>INDEX(products!$A$1:$G$49,MATCH(orders!$D62,products!$A$1:$A$49,0),MATCH(orders!L$1,products!$A$1:$G$1,0))</f>
        <v>22.884999999999998</v>
      </c>
      <c r="M62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_xlfn.XLOOKUP(C62,customers!$A$2:$A$1001,customers!$I$2:$I$1001,,0)</f>
        <v>No</v>
      </c>
    </row>
    <row r="63" spans="1:16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>
        <f>_xlfn.XLOOKUP(C63,customers!$A$1:$A$1001,customers!$C$1:$C$1001,,0)</f>
        <v>0</v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>
        <f>INDEX(products!$A$1:$G$49,MATCH(orders!$D63,products!$A$1:$A$49,0),MATCH(orders!K$1,products!$A$1:$G$1,0))</f>
        <v>0.5</v>
      </c>
      <c r="L63">
        <f>INDEX(products!$A$1:$G$49,MATCH(orders!$D63,products!$A$1:$A$49,0),MATCH(orders!L$1,products!$A$1:$G$1,0))</f>
        <v>5.3699999999999992</v>
      </c>
      <c r="M63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_xlfn.XLOOKUP(C63,customers!$A$2:$A$1001,customers!$I$2:$I$1001,,0)</f>
        <v>Yes</v>
      </c>
    </row>
    <row r="64" spans="1:16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>
        <f>_xlfn.XLOOKUP(C64,customers!$A$1:$A$1001,customers!$C$1:$C$1001,,0)</f>
        <v>0</v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>
        <f>INDEX(products!$A$1:$G$49,MATCH(orders!$D64,products!$A$1:$A$49,0),MATCH(orders!K$1,products!$A$1:$G$1,0))</f>
        <v>0.2</v>
      </c>
      <c r="L64">
        <f>INDEX(products!$A$1:$G$49,MATCH(orders!$D64,products!$A$1:$A$49,0),MATCH(orders!L$1,products!$A$1:$G$1,0))</f>
        <v>4.7549999999999999</v>
      </c>
      <c r="M64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_xlfn.XLOOKUP(C64,customers!$A$2:$A$1001,customers!$I$2:$I$1001,,0)</f>
        <v>Yes</v>
      </c>
    </row>
    <row r="65" spans="1:16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_xlfn.XLOOKUP(C65,customers!$A$1:$A$1001,customers!$C$1:$C$1001,,0)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>
        <f>INDEX(products!$A$1:$G$49,MATCH(orders!$D65,products!$A$1:$A$49,0),MATCH(orders!K$1,products!$A$1:$G$1,0))</f>
        <v>0.5</v>
      </c>
      <c r="L65">
        <f>INDEX(products!$A$1:$G$49,MATCH(orders!$D65,products!$A$1:$A$49,0),MATCH(orders!L$1,products!$A$1:$G$1,0))</f>
        <v>6.75</v>
      </c>
      <c r="M6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_xlfn.XLOOKUP(C65,customers!$A$2:$A$1001,customers!$I$2:$I$1001,,0)</f>
        <v>No</v>
      </c>
    </row>
    <row r="66" spans="1:16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>
        <f>_xlfn.XLOOKUP(C66,customers!$A$1:$A$1001,customers!$C$1:$C$1001,,0)</f>
        <v>0</v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>
        <f>INDEX(products!$A$1:$G$49,MATCH(orders!$D66,products!$A$1:$A$49,0),MATCH(orders!K$1,products!$A$1:$G$1,0))</f>
        <v>0.5</v>
      </c>
      <c r="L66">
        <f>INDEX(products!$A$1:$G$49,MATCH(orders!$D66,products!$A$1:$A$49,0),MATCH(orders!L$1,products!$A$1:$G$1,0))</f>
        <v>5.97</v>
      </c>
      <c r="M66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_xlfn.XLOOKUP(C66,customers!$A$2:$A$1001,customers!$I$2:$I$1001,,0)</f>
        <v>Yes</v>
      </c>
    </row>
    <row r="67" spans="1:16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_xlfn.XLOOKUP(C67,customers!$A$1:$A$1001,customers!$C$1:$C$1001,,0)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>
        <f>INDEX(products!$A$1:$G$49,MATCH(orders!$D67,products!$A$1:$A$49,0),MATCH(orders!K$1,products!$A$1:$G$1,0))</f>
        <v>2.5</v>
      </c>
      <c r="L67">
        <f>INDEX(products!$A$1:$G$49,MATCH(orders!$D67,products!$A$1:$A$49,0),MATCH(orders!L$1,products!$A$1:$G$1,0))</f>
        <v>20.584999999999997</v>
      </c>
      <c r="M67">
        <f t="shared" ref="M67:M130" si="3">L67*E67</f>
        <v>82.339999999999989</v>
      </c>
      <c r="N67" t="str">
        <f t="shared" ref="N67:N130" si="4">IF(I67="Rob","Robusta",IF(I67="Exc","Excelsa",IF(I67="Lib","Liberica",IF(I67="Ara","Arabica"))))</f>
        <v>Robusta</v>
      </c>
      <c r="O67" t="str">
        <f t="shared" si="2"/>
        <v>Dark</v>
      </c>
      <c r="P67" t="str">
        <f>_xlfn.XLOOKUP(C67,customers!$A$2:$A$1001,customers!$I$2:$I$1001,,0)</f>
        <v>Yes</v>
      </c>
    </row>
    <row r="68" spans="1:16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_xlfn.XLOOKUP(C68,customers!$A$1:$A$1001,customers!$C$1:$C$1001,,0)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>
        <f>INDEX(products!$A$1:$G$49,MATCH(orders!$D68,products!$A$1:$A$49,0),MATCH(orders!K$1,products!$A$1:$G$1,0))</f>
        <v>0.5</v>
      </c>
      <c r="L68">
        <f>INDEX(products!$A$1:$G$49,MATCH(orders!$D68,products!$A$1:$A$49,0),MATCH(orders!L$1,products!$A$1:$G$1,0))</f>
        <v>7.169999999999999</v>
      </c>
      <c r="M68">
        <f t="shared" si="3"/>
        <v>7.169999999999999</v>
      </c>
      <c r="N68" t="str">
        <f t="shared" si="4"/>
        <v>Robusta</v>
      </c>
      <c r="O68" t="str">
        <f t="shared" si="2"/>
        <v>Light</v>
      </c>
      <c r="P68" t="str">
        <f>_xlfn.XLOOKUP(C68,customers!$A$2:$A$1001,customers!$I$2:$I$1001,,0)</f>
        <v>Yes</v>
      </c>
    </row>
    <row r="69" spans="1:16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_xlfn.XLOOKUP(C69,customers!$A$1:$A$1001,customers!$C$1:$C$1001,,0)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>
        <f>INDEX(products!$A$1:$G$49,MATCH(orders!$D69,products!$A$1:$A$49,0),MATCH(orders!K$1,products!$A$1:$G$1,0))</f>
        <v>0.2</v>
      </c>
      <c r="L69">
        <f>INDEX(products!$A$1:$G$49,MATCH(orders!$D69,products!$A$1:$A$49,0),MATCH(orders!L$1,products!$A$1:$G$1,0))</f>
        <v>4.7549999999999999</v>
      </c>
      <c r="M69">
        <f t="shared" si="3"/>
        <v>9.51</v>
      </c>
      <c r="N69" t="str">
        <f t="shared" si="4"/>
        <v>Liberica</v>
      </c>
      <c r="O69" t="str">
        <f t="shared" ref="O69:O132" si="5">IF(J69="L","Light",IF(J69="M","Medium",IF(J69="D","Dark")))</f>
        <v>Light</v>
      </c>
      <c r="P69" t="str">
        <f>_xlfn.XLOOKUP(C69,customers!$A$2:$A$1001,customers!$I$2:$I$1001,,0)</f>
        <v>No</v>
      </c>
    </row>
    <row r="70" spans="1:16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_xlfn.XLOOKUP(C70,customers!$A$1:$A$1001,customers!$C$1:$C$1001,,0)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>
        <f>INDEX(products!$A$1:$G$49,MATCH(orders!$D70,products!$A$1:$A$49,0),MATCH(orders!K$1,products!$A$1:$G$1,0))</f>
        <v>0.2</v>
      </c>
      <c r="L70">
        <f>INDEX(products!$A$1:$G$49,MATCH(orders!$D70,products!$A$1:$A$49,0),MATCH(orders!L$1,products!$A$1:$G$1,0))</f>
        <v>2.9849999999999999</v>
      </c>
      <c r="M70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_xlfn.XLOOKUP(C70,customers!$A$2:$A$1001,customers!$I$2:$I$1001,,0)</f>
        <v>No</v>
      </c>
    </row>
    <row r="71" spans="1:16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_xlfn.XLOOKUP(C71,customers!$A$1:$A$1001,customers!$C$1:$C$1001,,0)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>
        <f>INDEX(products!$A$1:$G$49,MATCH(orders!$D71,products!$A$1:$A$49,0),MATCH(orders!K$1,products!$A$1:$G$1,0))</f>
        <v>1</v>
      </c>
      <c r="L71">
        <f>INDEX(products!$A$1:$G$49,MATCH(orders!$D71,products!$A$1:$A$49,0),MATCH(orders!L$1,products!$A$1:$G$1,0))</f>
        <v>9.9499999999999993</v>
      </c>
      <c r="M71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_xlfn.XLOOKUP(C71,customers!$A$2:$A$1001,customers!$I$2:$I$1001,,0)</f>
        <v>Yes</v>
      </c>
    </row>
    <row r="72" spans="1:16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_xlfn.XLOOKUP(C72,customers!$A$1:$A$1001,customers!$C$1:$C$1001,,0)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>
        <f>INDEX(products!$A$1:$G$49,MATCH(orders!$D72,products!$A$1:$A$49,0),MATCH(orders!K$1,products!$A$1:$G$1,0))</f>
        <v>2.5</v>
      </c>
      <c r="L72">
        <f>INDEX(products!$A$1:$G$49,MATCH(orders!$D72,products!$A$1:$A$49,0),MATCH(orders!L$1,products!$A$1:$G$1,0))</f>
        <v>34.154999999999994</v>
      </c>
      <c r="M72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_xlfn.XLOOKUP(C72,customers!$A$2:$A$1001,customers!$I$2:$I$1001,,0)</f>
        <v>No</v>
      </c>
    </row>
    <row r="73" spans="1:16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_xlfn.XLOOKUP(C73,customers!$A$1:$A$1001,customers!$C$1:$C$1001,,0)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>
        <f>INDEX(products!$A$1:$G$49,MATCH(orders!$D73,products!$A$1:$A$49,0),MATCH(orders!K$1,products!$A$1:$G$1,0))</f>
        <v>0.2</v>
      </c>
      <c r="L73">
        <f>INDEX(products!$A$1:$G$49,MATCH(orders!$D73,products!$A$1:$A$49,0),MATCH(orders!L$1,products!$A$1:$G$1,0))</f>
        <v>4.7549999999999999</v>
      </c>
      <c r="M73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_xlfn.XLOOKUP(C73,customers!$A$2:$A$1001,customers!$I$2:$I$1001,,0)</f>
        <v>No</v>
      </c>
    </row>
    <row r="74" spans="1:16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>
        <f>_xlfn.XLOOKUP(C74,customers!$A$1:$A$1001,customers!$C$1:$C$1001,,0)</f>
        <v>0</v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>
        <f>INDEX(products!$A$1:$G$49,MATCH(orders!$D74,products!$A$1:$A$49,0),MATCH(orders!K$1,products!$A$1:$G$1,0))</f>
        <v>2.5</v>
      </c>
      <c r="L74">
        <f>INDEX(products!$A$1:$G$49,MATCH(orders!$D74,products!$A$1:$A$49,0),MATCH(orders!L$1,products!$A$1:$G$1,0))</f>
        <v>25.874999999999996</v>
      </c>
      <c r="M74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_xlfn.XLOOKUP(C74,customers!$A$2:$A$1001,customers!$I$2:$I$1001,,0)</f>
        <v>No</v>
      </c>
    </row>
    <row r="75" spans="1:16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>
        <f>_xlfn.XLOOKUP(C75,customers!$A$1:$A$1001,customers!$C$1:$C$1001,,0)</f>
        <v>0</v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>
        <f>INDEX(products!$A$1:$G$49,MATCH(orders!$D75,products!$A$1:$A$49,0),MATCH(orders!K$1,products!$A$1:$G$1,0))</f>
        <v>0.2</v>
      </c>
      <c r="L75">
        <f>INDEX(products!$A$1:$G$49,MATCH(orders!$D75,products!$A$1:$A$49,0),MATCH(orders!L$1,products!$A$1:$G$1,0))</f>
        <v>4.3650000000000002</v>
      </c>
      <c r="M7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_xlfn.XLOOKUP(C75,customers!$A$2:$A$1001,customers!$I$2:$I$1001,,0)</f>
        <v>Yes</v>
      </c>
    </row>
    <row r="76" spans="1:16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_xlfn.XLOOKUP(C76,customers!$A$1:$A$1001,customers!$C$1:$C$1001,,0)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>
        <f>INDEX(products!$A$1:$G$49,MATCH(orders!$D76,products!$A$1:$A$49,0),MATCH(orders!K$1,products!$A$1:$G$1,0))</f>
        <v>0.5</v>
      </c>
      <c r="L76">
        <f>INDEX(products!$A$1:$G$49,MATCH(orders!$D76,products!$A$1:$A$49,0),MATCH(orders!L$1,products!$A$1:$G$1,0))</f>
        <v>8.91</v>
      </c>
      <c r="M76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_xlfn.XLOOKUP(C76,customers!$A$2:$A$1001,customers!$I$2:$I$1001,,0)</f>
        <v>Yes</v>
      </c>
    </row>
    <row r="77" spans="1:16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_xlfn.XLOOKUP(C77,customers!$A$1:$A$1001,customers!$C$1:$C$1001,,0)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>
        <f>INDEX(products!$A$1:$G$49,MATCH(orders!$D77,products!$A$1:$A$49,0),MATCH(orders!K$1,products!$A$1:$G$1,0))</f>
        <v>1</v>
      </c>
      <c r="L77">
        <f>INDEX(products!$A$1:$G$49,MATCH(orders!$D77,products!$A$1:$A$49,0),MATCH(orders!L$1,products!$A$1:$G$1,0))</f>
        <v>8.9499999999999993</v>
      </c>
      <c r="M77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_xlfn.XLOOKUP(C77,customers!$A$2:$A$1001,customers!$I$2:$I$1001,,0)</f>
        <v>Yes</v>
      </c>
    </row>
    <row r="78" spans="1:16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>
        <f>_xlfn.XLOOKUP(C78,customers!$A$1:$A$1001,customers!$C$1:$C$1001,,0)</f>
        <v>0</v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>
        <f>INDEX(products!$A$1:$G$49,MATCH(orders!$D78,products!$A$1:$A$49,0),MATCH(orders!K$1,products!$A$1:$G$1,0))</f>
        <v>0.2</v>
      </c>
      <c r="L78">
        <f>INDEX(products!$A$1:$G$49,MATCH(orders!$D78,products!$A$1:$A$49,0),MATCH(orders!L$1,products!$A$1:$G$1,0))</f>
        <v>3.5849999999999995</v>
      </c>
      <c r="M78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_xlfn.XLOOKUP(C78,customers!$A$2:$A$1001,customers!$I$2:$I$1001,,0)</f>
        <v>Yes</v>
      </c>
    </row>
    <row r="79" spans="1:16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_xlfn.XLOOKUP(C79,customers!$A$1:$A$1001,customers!$C$1:$C$1001,,0)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>
        <f>INDEX(products!$A$1:$G$49,MATCH(orders!$D79,products!$A$1:$A$49,0),MATCH(orders!K$1,products!$A$1:$G$1,0))</f>
        <v>0.2</v>
      </c>
      <c r="L79">
        <f>INDEX(products!$A$1:$G$49,MATCH(orders!$D79,products!$A$1:$A$49,0),MATCH(orders!L$1,products!$A$1:$G$1,0))</f>
        <v>3.645</v>
      </c>
      <c r="M79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_xlfn.XLOOKUP(C79,customers!$A$2:$A$1001,customers!$I$2:$I$1001,,0)</f>
        <v>No</v>
      </c>
    </row>
    <row r="80" spans="1:16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_xlfn.XLOOKUP(C80,customers!$A$1:$A$1001,customers!$C$1:$C$1001,,0)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>
        <f>INDEX(products!$A$1:$G$49,MATCH(orders!$D80,products!$A$1:$A$49,0),MATCH(orders!K$1,products!$A$1:$G$1,0))</f>
        <v>0.5</v>
      </c>
      <c r="L80">
        <f>INDEX(products!$A$1:$G$49,MATCH(orders!$D80,products!$A$1:$A$49,0),MATCH(orders!L$1,products!$A$1:$G$1,0))</f>
        <v>6.75</v>
      </c>
      <c r="M80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_xlfn.XLOOKUP(C80,customers!$A$2:$A$1001,customers!$I$2:$I$1001,,0)</f>
        <v>Yes</v>
      </c>
    </row>
    <row r="81" spans="1:16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_xlfn.XLOOKUP(C81,customers!$A$1:$A$1001,customers!$C$1:$C$1001,,0)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>
        <f>INDEX(products!$A$1:$G$49,MATCH(orders!$D81,products!$A$1:$A$49,0),MATCH(orders!K$1,products!$A$1:$G$1,0))</f>
        <v>1</v>
      </c>
      <c r="L81">
        <f>INDEX(products!$A$1:$G$49,MATCH(orders!$D81,products!$A$1:$A$49,0),MATCH(orders!L$1,products!$A$1:$G$1,0))</f>
        <v>11.95</v>
      </c>
      <c r="M81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_xlfn.XLOOKUP(C81,customers!$A$2:$A$1001,customers!$I$2:$I$1001,,0)</f>
        <v>No</v>
      </c>
    </row>
    <row r="82" spans="1:16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_xlfn.XLOOKUP(C82,customers!$A$1:$A$1001,customers!$C$1:$C$1001,,0)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>
        <f>INDEX(products!$A$1:$G$49,MATCH(orders!$D82,products!$A$1:$A$49,0),MATCH(orders!K$1,products!$A$1:$G$1,0))</f>
        <v>0.5</v>
      </c>
      <c r="L82">
        <f>INDEX(products!$A$1:$G$49,MATCH(orders!$D82,products!$A$1:$A$49,0),MATCH(orders!L$1,products!$A$1:$G$1,0))</f>
        <v>7.77</v>
      </c>
      <c r="M82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_xlfn.XLOOKUP(C82,customers!$A$2:$A$1001,customers!$I$2:$I$1001,,0)</f>
        <v>Yes</v>
      </c>
    </row>
    <row r="83" spans="1:16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_xlfn.XLOOKUP(C83,customers!$A$1:$A$1001,customers!$C$1:$C$1001,,0)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>
        <f>INDEX(products!$A$1:$G$49,MATCH(orders!$D83,products!$A$1:$A$49,0),MATCH(orders!K$1,products!$A$1:$G$1,0))</f>
        <v>2.5</v>
      </c>
      <c r="L83">
        <f>INDEX(products!$A$1:$G$49,MATCH(orders!$D83,products!$A$1:$A$49,0),MATCH(orders!L$1,products!$A$1:$G$1,0))</f>
        <v>36.454999999999998</v>
      </c>
      <c r="M83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_xlfn.XLOOKUP(C83,customers!$A$2:$A$1001,customers!$I$2:$I$1001,,0)</f>
        <v>Yes</v>
      </c>
    </row>
    <row r="84" spans="1:16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_xlfn.XLOOKUP(C84,customers!$A$1:$A$1001,customers!$C$1:$C$1001,,0)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>
        <f>INDEX(products!$A$1:$G$49,MATCH(orders!$D84,products!$A$1:$A$49,0),MATCH(orders!K$1,products!$A$1:$G$1,0))</f>
        <v>2.5</v>
      </c>
      <c r="L84">
        <f>INDEX(products!$A$1:$G$49,MATCH(orders!$D84,products!$A$1:$A$49,0),MATCH(orders!L$1,products!$A$1:$G$1,0))</f>
        <v>33.464999999999996</v>
      </c>
      <c r="M84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_xlfn.XLOOKUP(C84,customers!$A$2:$A$1001,customers!$I$2:$I$1001,,0)</f>
        <v>Yes</v>
      </c>
    </row>
    <row r="85" spans="1:16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>
        <f>_xlfn.XLOOKUP(C85,customers!$A$1:$A$1001,customers!$C$1:$C$1001,,0)</f>
        <v>0</v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>
        <f>INDEX(products!$A$1:$G$49,MATCH(orders!$D85,products!$A$1:$A$49,0),MATCH(orders!K$1,products!$A$1:$G$1,0))</f>
        <v>2.5</v>
      </c>
      <c r="L85">
        <f>INDEX(products!$A$1:$G$49,MATCH(orders!$D85,products!$A$1:$A$49,0),MATCH(orders!L$1,products!$A$1:$G$1,0))</f>
        <v>20.584999999999997</v>
      </c>
      <c r="M8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_xlfn.XLOOKUP(C85,customers!$A$2:$A$1001,customers!$I$2:$I$1001,,0)</f>
        <v>Yes</v>
      </c>
    </row>
    <row r="86" spans="1:16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_xlfn.XLOOKUP(C86,customers!$A$1:$A$1001,customers!$C$1:$C$1001,,0)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>
        <f>INDEX(products!$A$1:$G$49,MATCH(orders!$D86,products!$A$1:$A$49,0),MATCH(orders!K$1,products!$A$1:$G$1,0))</f>
        <v>0.5</v>
      </c>
      <c r="L86">
        <f>INDEX(products!$A$1:$G$49,MATCH(orders!$D86,products!$A$1:$A$49,0),MATCH(orders!L$1,products!$A$1:$G$1,0))</f>
        <v>9.51</v>
      </c>
      <c r="M86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_xlfn.XLOOKUP(C86,customers!$A$2:$A$1001,customers!$I$2:$I$1001,,0)</f>
        <v>No</v>
      </c>
    </row>
    <row r="87" spans="1:16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_xlfn.XLOOKUP(C87,customers!$A$1:$A$1001,customers!$C$1:$C$1001,,0)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>
        <f>INDEX(products!$A$1:$G$49,MATCH(orders!$D87,products!$A$1:$A$49,0),MATCH(orders!K$1,products!$A$1:$G$1,0))</f>
        <v>2.5</v>
      </c>
      <c r="L87">
        <f>INDEX(products!$A$1:$G$49,MATCH(orders!$D87,products!$A$1:$A$49,0),MATCH(orders!L$1,products!$A$1:$G$1,0))</f>
        <v>29.784999999999997</v>
      </c>
      <c r="M87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_xlfn.XLOOKUP(C87,customers!$A$2:$A$1001,customers!$I$2:$I$1001,,0)</f>
        <v>No</v>
      </c>
    </row>
    <row r="88" spans="1:16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_xlfn.XLOOKUP(C88,customers!$A$1:$A$1001,customers!$C$1:$C$1001,,0)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>
        <f>INDEX(products!$A$1:$G$49,MATCH(orders!$D88,products!$A$1:$A$49,0),MATCH(orders!K$1,products!$A$1:$G$1,0))</f>
        <v>0.2</v>
      </c>
      <c r="L88">
        <f>INDEX(products!$A$1:$G$49,MATCH(orders!$D88,products!$A$1:$A$49,0),MATCH(orders!L$1,products!$A$1:$G$1,0))</f>
        <v>2.9849999999999999</v>
      </c>
      <c r="M88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_xlfn.XLOOKUP(C88,customers!$A$2:$A$1001,customers!$I$2:$I$1001,,0)</f>
        <v>No</v>
      </c>
    </row>
    <row r="89" spans="1:16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_xlfn.XLOOKUP(C89,customers!$A$1:$A$1001,customers!$C$1:$C$1001,,0)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>
        <f>INDEX(products!$A$1:$G$49,MATCH(orders!$D89,products!$A$1:$A$49,0),MATCH(orders!K$1,products!$A$1:$G$1,0))</f>
        <v>1</v>
      </c>
      <c r="L89">
        <f>INDEX(products!$A$1:$G$49,MATCH(orders!$D89,products!$A$1:$A$49,0),MATCH(orders!L$1,products!$A$1:$G$1,0))</f>
        <v>11.25</v>
      </c>
      <c r="M89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_xlfn.XLOOKUP(C89,customers!$A$2:$A$1001,customers!$I$2:$I$1001,,0)</f>
        <v>No</v>
      </c>
    </row>
    <row r="90" spans="1:16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_xlfn.XLOOKUP(C90,customers!$A$1:$A$1001,customers!$C$1:$C$1001,,0)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>
        <f>INDEX(products!$A$1:$G$49,MATCH(orders!$D90,products!$A$1:$A$49,0),MATCH(orders!K$1,products!$A$1:$G$1,0))</f>
        <v>1</v>
      </c>
      <c r="L90">
        <f>INDEX(products!$A$1:$G$49,MATCH(orders!$D90,products!$A$1:$A$49,0),MATCH(orders!L$1,products!$A$1:$G$1,0))</f>
        <v>11.95</v>
      </c>
      <c r="M90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_xlfn.XLOOKUP(C90,customers!$A$2:$A$1001,customers!$I$2:$I$1001,,0)</f>
        <v>No</v>
      </c>
    </row>
    <row r="91" spans="1:16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_xlfn.XLOOKUP(C91,customers!$A$1:$A$1001,customers!$C$1:$C$1001,,0)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>
        <f>INDEX(products!$A$1:$G$49,MATCH(orders!$D91,products!$A$1:$A$49,0),MATCH(orders!K$1,products!$A$1:$G$1,0))</f>
        <v>1</v>
      </c>
      <c r="L91">
        <f>INDEX(products!$A$1:$G$49,MATCH(orders!$D91,products!$A$1:$A$49,0),MATCH(orders!L$1,products!$A$1:$G$1,0))</f>
        <v>12.95</v>
      </c>
      <c r="M91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_xlfn.XLOOKUP(C91,customers!$A$2:$A$1001,customers!$I$2:$I$1001,,0)</f>
        <v>No</v>
      </c>
    </row>
    <row r="92" spans="1:16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>
        <f>_xlfn.XLOOKUP(C92,customers!$A$1:$A$1001,customers!$C$1:$C$1001,,0)</f>
        <v>0</v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>
        <f>INDEX(products!$A$1:$G$49,MATCH(orders!$D92,products!$A$1:$A$49,0),MATCH(orders!K$1,products!$A$1:$G$1,0))</f>
        <v>1</v>
      </c>
      <c r="L92">
        <f>INDEX(products!$A$1:$G$49,MATCH(orders!$D92,products!$A$1:$A$49,0),MATCH(orders!L$1,products!$A$1:$G$1,0))</f>
        <v>12.95</v>
      </c>
      <c r="M92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_xlfn.XLOOKUP(C92,customers!$A$2:$A$1001,customers!$I$2:$I$1001,,0)</f>
        <v>Yes</v>
      </c>
    </row>
    <row r="93" spans="1:16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_xlfn.XLOOKUP(C93,customers!$A$1:$A$1001,customers!$C$1:$C$1001,,0)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>
        <f>INDEX(products!$A$1:$G$49,MATCH(orders!$D93,products!$A$1:$A$49,0),MATCH(orders!K$1,products!$A$1:$G$1,0))</f>
        <v>2.5</v>
      </c>
      <c r="L93">
        <f>INDEX(products!$A$1:$G$49,MATCH(orders!$D93,products!$A$1:$A$49,0),MATCH(orders!L$1,products!$A$1:$G$1,0))</f>
        <v>25.874999999999996</v>
      </c>
      <c r="M93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_xlfn.XLOOKUP(C93,customers!$A$2:$A$1001,customers!$I$2:$I$1001,,0)</f>
        <v>No</v>
      </c>
    </row>
    <row r="94" spans="1:16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>
        <f>_xlfn.XLOOKUP(C94,customers!$A$1:$A$1001,customers!$C$1:$C$1001,,0)</f>
        <v>0</v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>
        <f>INDEX(products!$A$1:$G$49,MATCH(orders!$D94,products!$A$1:$A$49,0),MATCH(orders!K$1,products!$A$1:$G$1,0))</f>
        <v>1</v>
      </c>
      <c r="L94">
        <f>INDEX(products!$A$1:$G$49,MATCH(orders!$D94,products!$A$1:$A$49,0),MATCH(orders!L$1,products!$A$1:$G$1,0))</f>
        <v>14.85</v>
      </c>
      <c r="M94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_xlfn.XLOOKUP(C94,customers!$A$2:$A$1001,customers!$I$2:$I$1001,,0)</f>
        <v>Yes</v>
      </c>
    </row>
    <row r="95" spans="1:16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_xlfn.XLOOKUP(C95,customers!$A$1:$A$1001,customers!$C$1:$C$1001,,0)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>
        <f>INDEX(products!$A$1:$G$49,MATCH(orders!$D95,products!$A$1:$A$49,0),MATCH(orders!K$1,products!$A$1:$G$1,0))</f>
        <v>0.5</v>
      </c>
      <c r="L95">
        <f>INDEX(products!$A$1:$G$49,MATCH(orders!$D95,products!$A$1:$A$49,0),MATCH(orders!L$1,products!$A$1:$G$1,0))</f>
        <v>8.91</v>
      </c>
      <c r="M9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_xlfn.XLOOKUP(C95,customers!$A$2:$A$1001,customers!$I$2:$I$1001,,0)</f>
        <v>Yes</v>
      </c>
    </row>
    <row r="96" spans="1:16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>
        <f>_xlfn.XLOOKUP(C96,customers!$A$1:$A$1001,customers!$C$1:$C$1001,,0)</f>
        <v>0</v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>
        <f>INDEX(products!$A$1:$G$49,MATCH(orders!$D96,products!$A$1:$A$49,0),MATCH(orders!K$1,products!$A$1:$G$1,0))</f>
        <v>0.2</v>
      </c>
      <c r="L96">
        <f>INDEX(products!$A$1:$G$49,MATCH(orders!$D96,products!$A$1:$A$49,0),MATCH(orders!L$1,products!$A$1:$G$1,0))</f>
        <v>2.9849999999999999</v>
      </c>
      <c r="M96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_xlfn.XLOOKUP(C96,customers!$A$2:$A$1001,customers!$I$2:$I$1001,,0)</f>
        <v>Yes</v>
      </c>
    </row>
    <row r="97" spans="1:16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_xlfn.XLOOKUP(C97,customers!$A$1:$A$1001,customers!$C$1:$C$1001,,0)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>
        <f>INDEX(products!$A$1:$G$49,MATCH(orders!$D97,products!$A$1:$A$49,0),MATCH(orders!K$1,products!$A$1:$G$1,0))</f>
        <v>2.5</v>
      </c>
      <c r="L97">
        <f>INDEX(products!$A$1:$G$49,MATCH(orders!$D97,products!$A$1:$A$49,0),MATCH(orders!L$1,products!$A$1:$G$1,0))</f>
        <v>25.874999999999996</v>
      </c>
      <c r="M97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_xlfn.XLOOKUP(C97,customers!$A$2:$A$1001,customers!$I$2:$I$1001,,0)</f>
        <v>No</v>
      </c>
    </row>
    <row r="98" spans="1:16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_xlfn.XLOOKUP(C98,customers!$A$1:$A$1001,customers!$C$1:$C$1001,,0)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>
        <f>INDEX(products!$A$1:$G$49,MATCH(orders!$D98,products!$A$1:$A$49,0),MATCH(orders!K$1,products!$A$1:$G$1,0))</f>
        <v>0.2</v>
      </c>
      <c r="L98">
        <f>INDEX(products!$A$1:$G$49,MATCH(orders!$D98,products!$A$1:$A$49,0),MATCH(orders!L$1,products!$A$1:$G$1,0))</f>
        <v>2.9849999999999999</v>
      </c>
      <c r="M98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_xlfn.XLOOKUP(C98,customers!$A$2:$A$1001,customers!$I$2:$I$1001,,0)</f>
        <v>No</v>
      </c>
    </row>
    <row r="99" spans="1:16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_xlfn.XLOOKUP(C99,customers!$A$1:$A$1001,customers!$C$1:$C$1001,,0)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>
        <f>INDEX(products!$A$1:$G$49,MATCH(orders!$D99,products!$A$1:$A$49,0),MATCH(orders!K$1,products!$A$1:$G$1,0))</f>
        <v>0.5</v>
      </c>
      <c r="L99">
        <f>INDEX(products!$A$1:$G$49,MATCH(orders!$D99,products!$A$1:$A$49,0),MATCH(orders!L$1,products!$A$1:$G$1,0))</f>
        <v>6.75</v>
      </c>
      <c r="M99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_xlfn.XLOOKUP(C99,customers!$A$2:$A$1001,customers!$I$2:$I$1001,,0)</f>
        <v>No</v>
      </c>
    </row>
    <row r="100" spans="1:16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>
        <f>_xlfn.XLOOKUP(C100,customers!$A$1:$A$1001,customers!$C$1:$C$1001,,0)</f>
        <v>0</v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>
        <f>INDEX(products!$A$1:$G$49,MATCH(orders!$D100,products!$A$1:$A$49,0),MATCH(orders!K$1,products!$A$1:$G$1,0))</f>
        <v>0.2</v>
      </c>
      <c r="L100">
        <f>INDEX(products!$A$1:$G$49,MATCH(orders!$D100,products!$A$1:$A$49,0),MATCH(orders!L$1,products!$A$1:$G$1,0))</f>
        <v>2.9849999999999999</v>
      </c>
      <c r="M100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_xlfn.XLOOKUP(C100,customers!$A$2:$A$1001,customers!$I$2:$I$1001,,0)</f>
        <v>No</v>
      </c>
    </row>
    <row r="101" spans="1:16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>
        <f>_xlfn.XLOOKUP(C101,customers!$A$1:$A$1001,customers!$C$1:$C$1001,,0)</f>
        <v>0</v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>
        <f>INDEX(products!$A$1:$G$49,MATCH(orders!$D101,products!$A$1:$A$49,0),MATCH(orders!K$1,products!$A$1:$G$1,0))</f>
        <v>0.2</v>
      </c>
      <c r="L101">
        <f>INDEX(products!$A$1:$G$49,MATCH(orders!$D101,products!$A$1:$A$49,0),MATCH(orders!L$1,products!$A$1:$G$1,0))</f>
        <v>4.3650000000000002</v>
      </c>
      <c r="M101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_xlfn.XLOOKUP(C101,customers!$A$2:$A$1001,customers!$I$2:$I$1001,,0)</f>
        <v>Yes</v>
      </c>
    </row>
    <row r="102" spans="1:16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>
        <f>_xlfn.XLOOKUP(C102,customers!$A$1:$A$1001,customers!$C$1:$C$1001,,0)</f>
        <v>0</v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>
        <f>INDEX(products!$A$1:$G$49,MATCH(orders!$D102,products!$A$1:$A$49,0),MATCH(orders!K$1,products!$A$1:$G$1,0))</f>
        <v>0.2</v>
      </c>
      <c r="L102">
        <f>INDEX(products!$A$1:$G$49,MATCH(orders!$D102,products!$A$1:$A$49,0),MATCH(orders!L$1,products!$A$1:$G$1,0))</f>
        <v>3.8849999999999998</v>
      </c>
      <c r="M102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_xlfn.XLOOKUP(C102,customers!$A$2:$A$1001,customers!$I$2:$I$1001,,0)</f>
        <v>Yes</v>
      </c>
    </row>
    <row r="103" spans="1:16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_xlfn.XLOOKUP(C103,customers!$A$1:$A$1001,customers!$C$1:$C$1001,,0)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>
        <f>INDEX(products!$A$1:$G$49,MATCH(orders!$D103,products!$A$1:$A$49,0),MATCH(orders!K$1,products!$A$1:$G$1,0))</f>
        <v>2.5</v>
      </c>
      <c r="L103">
        <f>INDEX(products!$A$1:$G$49,MATCH(orders!$D103,products!$A$1:$A$49,0),MATCH(orders!L$1,products!$A$1:$G$1,0))</f>
        <v>29.784999999999997</v>
      </c>
      <c r="M103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_xlfn.XLOOKUP(C103,customers!$A$2:$A$1001,customers!$I$2:$I$1001,,0)</f>
        <v>Yes</v>
      </c>
    </row>
    <row r="104" spans="1:16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_xlfn.XLOOKUP(C104,customers!$A$1:$A$1001,customers!$C$1:$C$1001,,0)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>
        <f>INDEX(products!$A$1:$G$49,MATCH(orders!$D104,products!$A$1:$A$49,0),MATCH(orders!K$1,products!$A$1:$G$1,0))</f>
        <v>1</v>
      </c>
      <c r="L104">
        <f>INDEX(products!$A$1:$G$49,MATCH(orders!$D104,products!$A$1:$A$49,0),MATCH(orders!L$1,products!$A$1:$G$1,0))</f>
        <v>12.95</v>
      </c>
      <c r="M104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_xlfn.XLOOKUP(C104,customers!$A$2:$A$1001,customers!$I$2:$I$1001,,0)</f>
        <v>Yes</v>
      </c>
    </row>
    <row r="105" spans="1:16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_xlfn.XLOOKUP(C105,customers!$A$1:$A$1001,customers!$C$1:$C$1001,,0)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>
        <f>INDEX(products!$A$1:$G$49,MATCH(orders!$D105,products!$A$1:$A$49,0),MATCH(orders!K$1,products!$A$1:$G$1,0))</f>
        <v>0.2</v>
      </c>
      <c r="L105">
        <f>INDEX(products!$A$1:$G$49,MATCH(orders!$D105,products!$A$1:$A$49,0),MATCH(orders!L$1,products!$A$1:$G$1,0))</f>
        <v>2.9849999999999999</v>
      </c>
      <c r="M10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_xlfn.XLOOKUP(C105,customers!$A$2:$A$1001,customers!$I$2:$I$1001,,0)</f>
        <v>No</v>
      </c>
    </row>
    <row r="106" spans="1:16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_xlfn.XLOOKUP(C106,customers!$A$1:$A$1001,customers!$C$1:$C$1001,,0)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>
        <f>INDEX(products!$A$1:$G$49,MATCH(orders!$D106,products!$A$1:$A$49,0),MATCH(orders!K$1,products!$A$1:$G$1,0))</f>
        <v>1</v>
      </c>
      <c r="L106">
        <f>INDEX(products!$A$1:$G$49,MATCH(orders!$D106,products!$A$1:$A$49,0),MATCH(orders!L$1,products!$A$1:$G$1,0))</f>
        <v>14.55</v>
      </c>
      <c r="M106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_xlfn.XLOOKUP(C106,customers!$A$2:$A$1001,customers!$I$2:$I$1001,,0)</f>
        <v>No</v>
      </c>
    </row>
    <row r="107" spans="1:16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_xlfn.XLOOKUP(C107,customers!$A$1:$A$1001,customers!$C$1:$C$1001,,0)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>
        <f>INDEX(products!$A$1:$G$49,MATCH(orders!$D107,products!$A$1:$A$49,0),MATCH(orders!K$1,products!$A$1:$G$1,0))</f>
        <v>0.5</v>
      </c>
      <c r="L107">
        <f>INDEX(products!$A$1:$G$49,MATCH(orders!$D107,products!$A$1:$A$49,0),MATCH(orders!L$1,products!$A$1:$G$1,0))</f>
        <v>6.75</v>
      </c>
      <c r="M107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_xlfn.XLOOKUP(C107,customers!$A$2:$A$1001,customers!$I$2:$I$1001,,0)</f>
        <v>Yes</v>
      </c>
    </row>
    <row r="108" spans="1:16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_xlfn.XLOOKUP(C108,customers!$A$1:$A$1001,customers!$C$1:$C$1001,,0)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>
        <f>INDEX(products!$A$1:$G$49,MATCH(orders!$D108,products!$A$1:$A$49,0),MATCH(orders!K$1,products!$A$1:$G$1,0))</f>
        <v>1</v>
      </c>
      <c r="L108">
        <f>INDEX(products!$A$1:$G$49,MATCH(orders!$D108,products!$A$1:$A$49,0),MATCH(orders!L$1,products!$A$1:$G$1,0))</f>
        <v>12.15</v>
      </c>
      <c r="M108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_xlfn.XLOOKUP(C108,customers!$A$2:$A$1001,customers!$I$2:$I$1001,,0)</f>
        <v>No</v>
      </c>
    </row>
    <row r="109" spans="1:16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_xlfn.XLOOKUP(C109,customers!$A$1:$A$1001,customers!$C$1:$C$1001,,0)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>
        <f>INDEX(products!$A$1:$G$49,MATCH(orders!$D109,products!$A$1:$A$49,0),MATCH(orders!K$1,products!$A$1:$G$1,0))</f>
        <v>0.5</v>
      </c>
      <c r="L109">
        <f>INDEX(products!$A$1:$G$49,MATCH(orders!$D109,products!$A$1:$A$49,0),MATCH(orders!L$1,products!$A$1:$G$1,0))</f>
        <v>5.97</v>
      </c>
      <c r="M109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_xlfn.XLOOKUP(C109,customers!$A$2:$A$1001,customers!$I$2:$I$1001,,0)</f>
        <v>Yes</v>
      </c>
    </row>
    <row r="110" spans="1:16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>
        <f>_xlfn.XLOOKUP(C110,customers!$A$1:$A$1001,customers!$C$1:$C$1001,,0)</f>
        <v>0</v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>
        <f>INDEX(products!$A$1:$G$49,MATCH(orders!$D110,products!$A$1:$A$49,0),MATCH(orders!K$1,products!$A$1:$G$1,0))</f>
        <v>0.5</v>
      </c>
      <c r="L110">
        <f>INDEX(products!$A$1:$G$49,MATCH(orders!$D110,products!$A$1:$A$49,0),MATCH(orders!L$1,products!$A$1:$G$1,0))</f>
        <v>6.75</v>
      </c>
      <c r="M110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_xlfn.XLOOKUP(C110,customers!$A$2:$A$1001,customers!$I$2:$I$1001,,0)</f>
        <v>No</v>
      </c>
    </row>
    <row r="111" spans="1:16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_xlfn.XLOOKUP(C111,customers!$A$1:$A$1001,customers!$C$1:$C$1001,,0)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>
        <f>INDEX(products!$A$1:$G$49,MATCH(orders!$D111,products!$A$1:$A$49,0),MATCH(orders!K$1,products!$A$1:$G$1,0))</f>
        <v>0.5</v>
      </c>
      <c r="L111">
        <f>INDEX(products!$A$1:$G$49,MATCH(orders!$D111,products!$A$1:$A$49,0),MATCH(orders!L$1,products!$A$1:$G$1,0))</f>
        <v>7.77</v>
      </c>
      <c r="M111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_xlfn.XLOOKUP(C111,customers!$A$2:$A$1001,customers!$I$2:$I$1001,,0)</f>
        <v>Yes</v>
      </c>
    </row>
    <row r="112" spans="1:16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_xlfn.XLOOKUP(C112,customers!$A$1:$A$1001,customers!$C$1:$C$1001,,0)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>
        <f>INDEX(products!$A$1:$G$49,MATCH(orders!$D112,products!$A$1:$A$49,0),MATCH(orders!K$1,products!$A$1:$G$1,0))</f>
        <v>0.2</v>
      </c>
      <c r="L112">
        <f>INDEX(products!$A$1:$G$49,MATCH(orders!$D112,products!$A$1:$A$49,0),MATCH(orders!L$1,products!$A$1:$G$1,0))</f>
        <v>4.4550000000000001</v>
      </c>
      <c r="M112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_xlfn.XLOOKUP(C112,customers!$A$2:$A$1001,customers!$I$2:$I$1001,,0)</f>
        <v>Yes</v>
      </c>
    </row>
    <row r="113" spans="1:16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_xlfn.XLOOKUP(C113,customers!$A$1:$A$1001,customers!$C$1:$C$1001,,0)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>
        <f>INDEX(products!$A$1:$G$49,MATCH(orders!$D113,products!$A$1:$A$49,0),MATCH(orders!K$1,products!$A$1:$G$1,0))</f>
        <v>0.5</v>
      </c>
      <c r="L113">
        <f>INDEX(products!$A$1:$G$49,MATCH(orders!$D113,products!$A$1:$A$49,0),MATCH(orders!L$1,products!$A$1:$G$1,0))</f>
        <v>5.3699999999999992</v>
      </c>
      <c r="M113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_xlfn.XLOOKUP(C113,customers!$A$2:$A$1001,customers!$I$2:$I$1001,,0)</f>
        <v>No</v>
      </c>
    </row>
    <row r="114" spans="1:16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_xlfn.XLOOKUP(C114,customers!$A$1:$A$1001,customers!$C$1:$C$1001,,0)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>
        <f>INDEX(products!$A$1:$G$49,MATCH(orders!$D114,products!$A$1:$A$49,0),MATCH(orders!K$1,products!$A$1:$G$1,0))</f>
        <v>1</v>
      </c>
      <c r="L114">
        <f>INDEX(products!$A$1:$G$49,MATCH(orders!$D114,products!$A$1:$A$49,0),MATCH(orders!L$1,products!$A$1:$G$1,0))</f>
        <v>11.25</v>
      </c>
      <c r="M114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_xlfn.XLOOKUP(C114,customers!$A$2:$A$1001,customers!$I$2:$I$1001,,0)</f>
        <v>No</v>
      </c>
    </row>
    <row r="115" spans="1:16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_xlfn.XLOOKUP(C115,customers!$A$1:$A$1001,customers!$C$1:$C$1001,,0)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>
        <f>INDEX(products!$A$1:$G$49,MATCH(orders!$D115,products!$A$1:$A$49,0),MATCH(orders!K$1,products!$A$1:$G$1,0))</f>
        <v>1</v>
      </c>
      <c r="L115">
        <f>INDEX(products!$A$1:$G$49,MATCH(orders!$D115,products!$A$1:$A$49,0),MATCH(orders!L$1,products!$A$1:$G$1,0))</f>
        <v>14.55</v>
      </c>
      <c r="M11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_xlfn.XLOOKUP(C115,customers!$A$2:$A$1001,customers!$I$2:$I$1001,,0)</f>
        <v>No</v>
      </c>
    </row>
    <row r="116" spans="1:16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>
        <f>_xlfn.XLOOKUP(C116,customers!$A$1:$A$1001,customers!$C$1:$C$1001,,0)</f>
        <v>0</v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>
        <f>INDEX(products!$A$1:$G$49,MATCH(orders!$D116,products!$A$1:$A$49,0),MATCH(orders!K$1,products!$A$1:$G$1,0))</f>
        <v>0.2</v>
      </c>
      <c r="L116">
        <f>INDEX(products!$A$1:$G$49,MATCH(orders!$D116,products!$A$1:$A$49,0),MATCH(orders!L$1,products!$A$1:$G$1,0))</f>
        <v>3.5849999999999995</v>
      </c>
      <c r="M116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_xlfn.XLOOKUP(C116,customers!$A$2:$A$1001,customers!$I$2:$I$1001,,0)</f>
        <v>No</v>
      </c>
    </row>
    <row r="117" spans="1:16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_xlfn.XLOOKUP(C117,customers!$A$1:$A$1001,customers!$C$1:$C$1001,,0)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>
        <f>INDEX(products!$A$1:$G$49,MATCH(orders!$D117,products!$A$1:$A$49,0),MATCH(orders!K$1,products!$A$1:$G$1,0))</f>
        <v>1</v>
      </c>
      <c r="L117">
        <f>INDEX(products!$A$1:$G$49,MATCH(orders!$D117,products!$A$1:$A$49,0),MATCH(orders!L$1,products!$A$1:$G$1,0))</f>
        <v>15.85</v>
      </c>
      <c r="M117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_xlfn.XLOOKUP(C117,customers!$A$2:$A$1001,customers!$I$2:$I$1001,,0)</f>
        <v>No</v>
      </c>
    </row>
    <row r="118" spans="1:16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_xlfn.XLOOKUP(C118,customers!$A$1:$A$1001,customers!$C$1:$C$1001,,0)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>
        <f>INDEX(products!$A$1:$G$49,MATCH(orders!$D118,products!$A$1:$A$49,0),MATCH(orders!K$1,products!$A$1:$G$1,0))</f>
        <v>0.2</v>
      </c>
      <c r="L118">
        <f>INDEX(products!$A$1:$G$49,MATCH(orders!$D118,products!$A$1:$A$49,0),MATCH(orders!L$1,products!$A$1:$G$1,0))</f>
        <v>4.7549999999999999</v>
      </c>
      <c r="M118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_xlfn.XLOOKUP(C118,customers!$A$2:$A$1001,customers!$I$2:$I$1001,,0)</f>
        <v>Yes</v>
      </c>
    </row>
    <row r="119" spans="1:16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_xlfn.XLOOKUP(C119,customers!$A$1:$A$1001,customers!$C$1:$C$1001,,0)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>
        <f>INDEX(products!$A$1:$G$49,MATCH(orders!$D119,products!$A$1:$A$49,0),MATCH(orders!K$1,products!$A$1:$G$1,0))</f>
        <v>0.5</v>
      </c>
      <c r="L119">
        <f>INDEX(products!$A$1:$G$49,MATCH(orders!$D119,products!$A$1:$A$49,0),MATCH(orders!L$1,products!$A$1:$G$1,0))</f>
        <v>9.51</v>
      </c>
      <c r="M119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_xlfn.XLOOKUP(C119,customers!$A$2:$A$1001,customers!$I$2:$I$1001,,0)</f>
        <v>No</v>
      </c>
    </row>
    <row r="120" spans="1:16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_xlfn.XLOOKUP(C120,customers!$A$1:$A$1001,customers!$C$1:$C$1001,,0)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>
        <f>INDEX(products!$A$1:$G$49,MATCH(orders!$D120,products!$A$1:$A$49,0),MATCH(orders!K$1,products!$A$1:$G$1,0))</f>
        <v>0.5</v>
      </c>
      <c r="L120">
        <f>INDEX(products!$A$1:$G$49,MATCH(orders!$D120,products!$A$1:$A$49,0),MATCH(orders!L$1,products!$A$1:$G$1,0))</f>
        <v>7.29</v>
      </c>
      <c r="M120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_xlfn.XLOOKUP(C120,customers!$A$2:$A$1001,customers!$I$2:$I$1001,,0)</f>
        <v>Yes</v>
      </c>
    </row>
    <row r="121" spans="1:16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_xlfn.XLOOKUP(C121,customers!$A$1:$A$1001,customers!$C$1:$C$1001,,0)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>
        <f>INDEX(products!$A$1:$G$49,MATCH(orders!$D121,products!$A$1:$A$49,0),MATCH(orders!K$1,products!$A$1:$G$1,0))</f>
        <v>0.2</v>
      </c>
      <c r="L121">
        <f>INDEX(products!$A$1:$G$49,MATCH(orders!$D121,products!$A$1:$A$49,0),MATCH(orders!L$1,products!$A$1:$G$1,0))</f>
        <v>4.125</v>
      </c>
      <c r="M121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_xlfn.XLOOKUP(C121,customers!$A$2:$A$1001,customers!$I$2:$I$1001,,0)</f>
        <v>No</v>
      </c>
    </row>
    <row r="122" spans="1:16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_xlfn.XLOOKUP(C122,customers!$A$1:$A$1001,customers!$C$1:$C$1001,,0)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>
        <f>INDEX(products!$A$1:$G$49,MATCH(orders!$D122,products!$A$1:$A$49,0),MATCH(orders!K$1,products!$A$1:$G$1,0))</f>
        <v>0.2</v>
      </c>
      <c r="L122">
        <f>INDEX(products!$A$1:$G$49,MATCH(orders!$D122,products!$A$1:$A$49,0),MATCH(orders!L$1,products!$A$1:$G$1,0))</f>
        <v>3.8849999999999998</v>
      </c>
      <c r="M122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_xlfn.XLOOKUP(C122,customers!$A$2:$A$1001,customers!$I$2:$I$1001,,0)</f>
        <v>No</v>
      </c>
    </row>
    <row r="123" spans="1:16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_xlfn.XLOOKUP(C123,customers!$A$1:$A$1001,customers!$C$1:$C$1001,,0)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>
        <f>INDEX(products!$A$1:$G$49,MATCH(orders!$D123,products!$A$1:$A$49,0),MATCH(orders!K$1,products!$A$1:$G$1,0))</f>
        <v>1</v>
      </c>
      <c r="L123">
        <f>INDEX(products!$A$1:$G$49,MATCH(orders!$D123,products!$A$1:$A$49,0),MATCH(orders!L$1,products!$A$1:$G$1,0))</f>
        <v>13.75</v>
      </c>
      <c r="M123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_xlfn.XLOOKUP(C123,customers!$A$2:$A$1001,customers!$I$2:$I$1001,,0)</f>
        <v>No</v>
      </c>
    </row>
    <row r="124" spans="1:16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_xlfn.XLOOKUP(C124,customers!$A$1:$A$1001,customers!$C$1:$C$1001,,0)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>
        <f>INDEX(products!$A$1:$G$49,MATCH(orders!$D124,products!$A$1:$A$49,0),MATCH(orders!K$1,products!$A$1:$G$1,0))</f>
        <v>0.5</v>
      </c>
      <c r="L124">
        <f>INDEX(products!$A$1:$G$49,MATCH(orders!$D124,products!$A$1:$A$49,0),MATCH(orders!L$1,products!$A$1:$G$1,0))</f>
        <v>5.97</v>
      </c>
      <c r="M124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_xlfn.XLOOKUP(C124,customers!$A$2:$A$1001,customers!$I$2:$I$1001,,0)</f>
        <v>Yes</v>
      </c>
    </row>
    <row r="125" spans="1:16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_xlfn.XLOOKUP(C125,customers!$A$1:$A$1001,customers!$C$1:$C$1001,,0)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>
        <f>INDEX(products!$A$1:$G$49,MATCH(orders!$D125,products!$A$1:$A$49,0),MATCH(orders!K$1,products!$A$1:$G$1,0))</f>
        <v>2.5</v>
      </c>
      <c r="L125">
        <f>INDEX(products!$A$1:$G$49,MATCH(orders!$D125,products!$A$1:$A$49,0),MATCH(orders!L$1,products!$A$1:$G$1,0))</f>
        <v>36.454999999999998</v>
      </c>
      <c r="M12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_xlfn.XLOOKUP(C125,customers!$A$2:$A$1001,customers!$I$2:$I$1001,,0)</f>
        <v>No</v>
      </c>
    </row>
    <row r="126" spans="1:16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_xlfn.XLOOKUP(C126,customers!$A$1:$A$1001,customers!$C$1:$C$1001,,0)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>
        <f>INDEX(products!$A$1:$G$49,MATCH(orders!$D126,products!$A$1:$A$49,0),MATCH(orders!K$1,products!$A$1:$G$1,0))</f>
        <v>0.2</v>
      </c>
      <c r="L126">
        <f>INDEX(products!$A$1:$G$49,MATCH(orders!$D126,products!$A$1:$A$49,0),MATCH(orders!L$1,products!$A$1:$G$1,0))</f>
        <v>4.3650000000000002</v>
      </c>
      <c r="M126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_xlfn.XLOOKUP(C126,customers!$A$2:$A$1001,customers!$I$2:$I$1001,,0)</f>
        <v>Yes</v>
      </c>
    </row>
    <row r="127" spans="1:16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_xlfn.XLOOKUP(C127,customers!$A$1:$A$1001,customers!$C$1:$C$1001,,0)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>
        <f>INDEX(products!$A$1:$G$49,MATCH(orders!$D127,products!$A$1:$A$49,0),MATCH(orders!K$1,products!$A$1:$G$1,0))</f>
        <v>0.5</v>
      </c>
      <c r="L127">
        <f>INDEX(products!$A$1:$G$49,MATCH(orders!$D127,products!$A$1:$A$49,0),MATCH(orders!L$1,products!$A$1:$G$1,0))</f>
        <v>8.73</v>
      </c>
      <c r="M127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_xlfn.XLOOKUP(C127,customers!$A$2:$A$1001,customers!$I$2:$I$1001,,0)</f>
        <v>Yes</v>
      </c>
    </row>
    <row r="128" spans="1:16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_xlfn.XLOOKUP(C128,customers!$A$1:$A$1001,customers!$C$1:$C$1001,,0)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>
        <f>INDEX(products!$A$1:$G$49,MATCH(orders!$D128,products!$A$1:$A$49,0),MATCH(orders!K$1,products!$A$1:$G$1,0))</f>
        <v>1</v>
      </c>
      <c r="L128">
        <f>INDEX(products!$A$1:$G$49,MATCH(orders!$D128,products!$A$1:$A$49,0),MATCH(orders!L$1,products!$A$1:$G$1,0))</f>
        <v>11.25</v>
      </c>
      <c r="M128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_xlfn.XLOOKUP(C128,customers!$A$2:$A$1001,customers!$I$2:$I$1001,,0)</f>
        <v>No</v>
      </c>
    </row>
    <row r="129" spans="1:16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_xlfn.XLOOKUP(C129,customers!$A$1:$A$1001,customers!$C$1:$C$1001,,0)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>
        <f>INDEX(products!$A$1:$G$49,MATCH(orders!$D129,products!$A$1:$A$49,0),MATCH(orders!K$1,products!$A$1:$G$1,0))</f>
        <v>1</v>
      </c>
      <c r="L129">
        <f>INDEX(products!$A$1:$G$49,MATCH(orders!$D129,products!$A$1:$A$49,0),MATCH(orders!L$1,products!$A$1:$G$1,0))</f>
        <v>12.95</v>
      </c>
      <c r="M129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_xlfn.XLOOKUP(C129,customers!$A$2:$A$1001,customers!$I$2:$I$1001,,0)</f>
        <v>No</v>
      </c>
    </row>
    <row r="130" spans="1:16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_xlfn.XLOOKUP(C130,customers!$A$1:$A$1001,customers!$C$1:$C$1001,,0)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>
        <f>INDEX(products!$A$1:$G$49,MATCH(orders!$D130,products!$A$1:$A$49,0),MATCH(orders!K$1,products!$A$1:$G$1,0))</f>
        <v>0.5</v>
      </c>
      <c r="L130">
        <f>INDEX(products!$A$1:$G$49,MATCH(orders!$D130,products!$A$1:$A$49,0),MATCH(orders!L$1,products!$A$1:$G$1,0))</f>
        <v>6.75</v>
      </c>
      <c r="M130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_xlfn.XLOOKUP(C130,customers!$A$2:$A$1001,customers!$I$2:$I$1001,,0)</f>
        <v>No</v>
      </c>
    </row>
    <row r="131" spans="1:16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_xlfn.XLOOKUP(C131,customers!$A$1:$A$1001,customers!$C$1:$C$1001,,0)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>
        <f>INDEX(products!$A$1:$G$49,MATCH(orders!$D131,products!$A$1:$A$49,0),MATCH(orders!K$1,products!$A$1:$G$1,0))</f>
        <v>1</v>
      </c>
      <c r="L131">
        <f>INDEX(products!$A$1:$G$49,MATCH(orders!$D131,products!$A$1:$A$49,0),MATCH(orders!L$1,products!$A$1:$G$1,0))</f>
        <v>12.15</v>
      </c>
      <c r="M131">
        <f t="shared" ref="M131:M194" si="6">L131*E131</f>
        <v>12.15</v>
      </c>
      <c r="N131" t="str">
        <f t="shared" ref="N131:N194" si="7">IF(I131="Rob","Robusta",IF(I131="Exc","Excelsa",IF(I131="Lib","Liberica",IF(I131="Ara","Arabica"))))</f>
        <v>Excelsa</v>
      </c>
      <c r="O131" t="str">
        <f t="shared" si="5"/>
        <v>Dark</v>
      </c>
      <c r="P131" t="str">
        <f>_xlfn.XLOOKUP(C131,customers!$A$2:$A$1001,customers!$I$2:$I$1001,,0)</f>
        <v>Yes</v>
      </c>
    </row>
    <row r="132" spans="1:16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>
        <f>_xlfn.XLOOKUP(C132,customers!$A$1:$A$1001,customers!$C$1:$C$1001,,0)</f>
        <v>0</v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>
        <f>INDEX(products!$A$1:$G$49,MATCH(orders!$D132,products!$A$1:$A$49,0),MATCH(orders!K$1,products!$A$1:$G$1,0))</f>
        <v>2.5</v>
      </c>
      <c r="L132">
        <f>INDEX(products!$A$1:$G$49,MATCH(orders!$D132,products!$A$1:$A$49,0),MATCH(orders!L$1,products!$A$1:$G$1,0))</f>
        <v>29.784999999999997</v>
      </c>
      <c r="M132">
        <f t="shared" si="6"/>
        <v>148.92499999999998</v>
      </c>
      <c r="N132" t="str">
        <f t="shared" si="7"/>
        <v>Arabica</v>
      </c>
      <c r="O132" t="str">
        <f t="shared" si="5"/>
        <v>Light</v>
      </c>
      <c r="P132" t="str">
        <f>_xlfn.XLOOKUP(C132,customers!$A$2:$A$1001,customers!$I$2:$I$1001,,0)</f>
        <v>Yes</v>
      </c>
    </row>
    <row r="133" spans="1:16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_xlfn.XLOOKUP(C133,customers!$A$1:$A$1001,customers!$C$1:$C$1001,,0)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>
        <f>INDEX(products!$A$1:$G$49,MATCH(orders!$D133,products!$A$1:$A$49,0),MATCH(orders!K$1,products!$A$1:$G$1,0))</f>
        <v>0.5</v>
      </c>
      <c r="L133">
        <f>INDEX(products!$A$1:$G$49,MATCH(orders!$D133,products!$A$1:$A$49,0),MATCH(orders!L$1,products!$A$1:$G$1,0))</f>
        <v>7.29</v>
      </c>
      <c r="M133">
        <f t="shared" si="6"/>
        <v>14.58</v>
      </c>
      <c r="N133" t="str">
        <f t="shared" si="7"/>
        <v>Excelsa</v>
      </c>
      <c r="O133" t="str">
        <f t="shared" ref="O133:O196" si="8">IF(J133="L","Light",IF(J133="M","Medium",IF(J133="D","Dark")))</f>
        <v>Dark</v>
      </c>
      <c r="P133" t="str">
        <f>_xlfn.XLOOKUP(C133,customers!$A$2:$A$1001,customers!$I$2:$I$1001,,0)</f>
        <v>Yes</v>
      </c>
    </row>
    <row r="134" spans="1:16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_xlfn.XLOOKUP(C134,customers!$A$1:$A$1001,customers!$C$1:$C$1001,,0)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>
        <f>INDEX(products!$A$1:$G$49,MATCH(orders!$D134,products!$A$1:$A$49,0),MATCH(orders!K$1,products!$A$1:$G$1,0))</f>
        <v>2.5</v>
      </c>
      <c r="L134">
        <f>INDEX(products!$A$1:$G$49,MATCH(orders!$D134,products!$A$1:$A$49,0),MATCH(orders!L$1,products!$A$1:$G$1,0))</f>
        <v>29.784999999999997</v>
      </c>
      <c r="M134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_xlfn.XLOOKUP(C134,customers!$A$2:$A$1001,customers!$I$2:$I$1001,,0)</f>
        <v>Yes</v>
      </c>
    </row>
    <row r="135" spans="1:16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_xlfn.XLOOKUP(C135,customers!$A$1:$A$1001,customers!$C$1:$C$1001,,0)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>
        <f>INDEX(products!$A$1:$G$49,MATCH(orders!$D135,products!$A$1:$A$49,0),MATCH(orders!K$1,products!$A$1:$G$1,0))</f>
        <v>1</v>
      </c>
      <c r="L135">
        <f>INDEX(products!$A$1:$G$49,MATCH(orders!$D135,products!$A$1:$A$49,0),MATCH(orders!L$1,products!$A$1:$G$1,0))</f>
        <v>12.95</v>
      </c>
      <c r="M13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_xlfn.XLOOKUP(C135,customers!$A$2:$A$1001,customers!$I$2:$I$1001,,0)</f>
        <v>No</v>
      </c>
    </row>
    <row r="136" spans="1:16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>
        <f>_xlfn.XLOOKUP(C136,customers!$A$1:$A$1001,customers!$C$1:$C$1001,,0)</f>
        <v>0</v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>
        <f>INDEX(products!$A$1:$G$49,MATCH(orders!$D136,products!$A$1:$A$49,0),MATCH(orders!K$1,products!$A$1:$G$1,0))</f>
        <v>2.5</v>
      </c>
      <c r="L136">
        <f>INDEX(products!$A$1:$G$49,MATCH(orders!$D136,products!$A$1:$A$49,0),MATCH(orders!L$1,products!$A$1:$G$1,0))</f>
        <v>31.624999999999996</v>
      </c>
      <c r="M136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_xlfn.XLOOKUP(C136,customers!$A$2:$A$1001,customers!$I$2:$I$1001,,0)</f>
        <v>Yes</v>
      </c>
    </row>
    <row r="137" spans="1:16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_xlfn.XLOOKUP(C137,customers!$A$1:$A$1001,customers!$C$1:$C$1001,,0)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>
        <f>INDEX(products!$A$1:$G$49,MATCH(orders!$D137,products!$A$1:$A$49,0),MATCH(orders!K$1,products!$A$1:$G$1,0))</f>
        <v>0.5</v>
      </c>
      <c r="L137">
        <f>INDEX(products!$A$1:$G$49,MATCH(orders!$D137,products!$A$1:$A$49,0),MATCH(orders!L$1,products!$A$1:$G$1,0))</f>
        <v>7.77</v>
      </c>
      <c r="M137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_xlfn.XLOOKUP(C137,customers!$A$2:$A$1001,customers!$I$2:$I$1001,,0)</f>
        <v>Yes</v>
      </c>
    </row>
    <row r="138" spans="1:16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_xlfn.XLOOKUP(C138,customers!$A$1:$A$1001,customers!$C$1:$C$1001,,0)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>
        <f>INDEX(products!$A$1:$G$49,MATCH(orders!$D138,products!$A$1:$A$49,0),MATCH(orders!K$1,products!$A$1:$G$1,0))</f>
        <v>0.2</v>
      </c>
      <c r="L138">
        <f>INDEX(products!$A$1:$G$49,MATCH(orders!$D138,products!$A$1:$A$49,0),MATCH(orders!L$1,products!$A$1:$G$1,0))</f>
        <v>2.9849999999999999</v>
      </c>
      <c r="M138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_xlfn.XLOOKUP(C138,customers!$A$2:$A$1001,customers!$I$2:$I$1001,,0)</f>
        <v>No</v>
      </c>
    </row>
    <row r="139" spans="1:16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>
        <f>_xlfn.XLOOKUP(C139,customers!$A$1:$A$1001,customers!$C$1:$C$1001,,0)</f>
        <v>0</v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>
        <f>INDEX(products!$A$1:$G$49,MATCH(orders!$D139,products!$A$1:$A$49,0),MATCH(orders!K$1,products!$A$1:$G$1,0))</f>
        <v>2.5</v>
      </c>
      <c r="L139">
        <f>INDEX(products!$A$1:$G$49,MATCH(orders!$D139,products!$A$1:$A$49,0),MATCH(orders!L$1,products!$A$1:$G$1,0))</f>
        <v>34.154999999999994</v>
      </c>
      <c r="M139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_xlfn.XLOOKUP(C139,customers!$A$2:$A$1001,customers!$I$2:$I$1001,,0)</f>
        <v>No</v>
      </c>
    </row>
    <row r="140" spans="1:16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>
        <f>_xlfn.XLOOKUP(C140,customers!$A$1:$A$1001,customers!$C$1:$C$1001,,0)</f>
        <v>0</v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>
        <f>INDEX(products!$A$1:$G$49,MATCH(orders!$D140,products!$A$1:$A$49,0),MATCH(orders!K$1,products!$A$1:$G$1,0))</f>
        <v>1</v>
      </c>
      <c r="L140">
        <f>INDEX(products!$A$1:$G$49,MATCH(orders!$D140,products!$A$1:$A$49,0),MATCH(orders!L$1,products!$A$1:$G$1,0))</f>
        <v>12.15</v>
      </c>
      <c r="M140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_xlfn.XLOOKUP(C140,customers!$A$2:$A$1001,customers!$I$2:$I$1001,,0)</f>
        <v>No</v>
      </c>
    </row>
    <row r="141" spans="1:16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>
        <f>_xlfn.XLOOKUP(C141,customers!$A$1:$A$1001,customers!$C$1:$C$1001,,0)</f>
        <v>0</v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>
        <f>INDEX(products!$A$1:$G$49,MATCH(orders!$D141,products!$A$1:$A$49,0),MATCH(orders!K$1,products!$A$1:$G$1,0))</f>
        <v>1</v>
      </c>
      <c r="L141">
        <f>INDEX(products!$A$1:$G$49,MATCH(orders!$D141,products!$A$1:$A$49,0),MATCH(orders!L$1,products!$A$1:$G$1,0))</f>
        <v>12.95</v>
      </c>
      <c r="M141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_xlfn.XLOOKUP(C141,customers!$A$2:$A$1001,customers!$I$2:$I$1001,,0)</f>
        <v>Yes</v>
      </c>
    </row>
    <row r="142" spans="1:16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_xlfn.XLOOKUP(C142,customers!$A$1:$A$1001,customers!$C$1:$C$1001,,0)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>
        <f>INDEX(products!$A$1:$G$49,MATCH(orders!$D142,products!$A$1:$A$49,0),MATCH(orders!K$1,products!$A$1:$G$1,0))</f>
        <v>2.5</v>
      </c>
      <c r="L142">
        <f>INDEX(products!$A$1:$G$49,MATCH(orders!$D142,products!$A$1:$A$49,0),MATCH(orders!L$1,products!$A$1:$G$1,0))</f>
        <v>29.784999999999997</v>
      </c>
      <c r="M142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_xlfn.XLOOKUP(C142,customers!$A$2:$A$1001,customers!$I$2:$I$1001,,0)</f>
        <v>Yes</v>
      </c>
    </row>
    <row r="143" spans="1:16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_xlfn.XLOOKUP(C143,customers!$A$1:$A$1001,customers!$C$1:$C$1001,,0)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>
        <f>INDEX(products!$A$1:$G$49,MATCH(orders!$D143,products!$A$1:$A$49,0),MATCH(orders!K$1,products!$A$1:$G$1,0))</f>
        <v>0.2</v>
      </c>
      <c r="L143">
        <f>INDEX(products!$A$1:$G$49,MATCH(orders!$D143,products!$A$1:$A$49,0),MATCH(orders!L$1,products!$A$1:$G$1,0))</f>
        <v>3.8849999999999998</v>
      </c>
      <c r="M143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_xlfn.XLOOKUP(C143,customers!$A$2:$A$1001,customers!$I$2:$I$1001,,0)</f>
        <v>Yes</v>
      </c>
    </row>
    <row r="144" spans="1:16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>
        <f>_xlfn.XLOOKUP(C144,customers!$A$1:$A$1001,customers!$C$1:$C$1001,,0)</f>
        <v>0</v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>
        <f>INDEX(products!$A$1:$G$49,MATCH(orders!$D144,products!$A$1:$A$49,0),MATCH(orders!K$1,products!$A$1:$G$1,0))</f>
        <v>2.5</v>
      </c>
      <c r="L144">
        <f>INDEX(products!$A$1:$G$49,MATCH(orders!$D144,products!$A$1:$A$49,0),MATCH(orders!L$1,products!$A$1:$G$1,0))</f>
        <v>34.154999999999994</v>
      </c>
      <c r="M144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_xlfn.XLOOKUP(C144,customers!$A$2:$A$1001,customers!$I$2:$I$1001,,0)</f>
        <v>Yes</v>
      </c>
    </row>
    <row r="145" spans="1:16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_xlfn.XLOOKUP(C145,customers!$A$1:$A$1001,customers!$C$1:$C$1001,,0)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>
        <f>INDEX(products!$A$1:$G$49,MATCH(orders!$D145,products!$A$1:$A$49,0),MATCH(orders!K$1,products!$A$1:$G$1,0))</f>
        <v>0.5</v>
      </c>
      <c r="L145">
        <f>INDEX(products!$A$1:$G$49,MATCH(orders!$D145,products!$A$1:$A$49,0),MATCH(orders!L$1,products!$A$1:$G$1,0))</f>
        <v>8.73</v>
      </c>
      <c r="M14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_xlfn.XLOOKUP(C145,customers!$A$2:$A$1001,customers!$I$2:$I$1001,,0)</f>
        <v>No</v>
      </c>
    </row>
    <row r="146" spans="1:16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_xlfn.XLOOKUP(C146,customers!$A$1:$A$1001,customers!$C$1:$C$1001,,0)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>
        <f>INDEX(products!$A$1:$G$49,MATCH(orders!$D146,products!$A$1:$A$49,0),MATCH(orders!K$1,products!$A$1:$G$1,0))</f>
        <v>2.5</v>
      </c>
      <c r="L146">
        <f>INDEX(products!$A$1:$G$49,MATCH(orders!$D146,products!$A$1:$A$49,0),MATCH(orders!L$1,products!$A$1:$G$1,0))</f>
        <v>34.154999999999994</v>
      </c>
      <c r="M146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_xlfn.XLOOKUP(C146,customers!$A$2:$A$1001,customers!$I$2:$I$1001,,0)</f>
        <v>Yes</v>
      </c>
    </row>
    <row r="147" spans="1:16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_xlfn.XLOOKUP(C147,customers!$A$1:$A$1001,customers!$C$1:$C$1001,,0)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>
        <f>INDEX(products!$A$1:$G$49,MATCH(orders!$D147,products!$A$1:$A$49,0),MATCH(orders!K$1,products!$A$1:$G$1,0))</f>
        <v>0.2</v>
      </c>
      <c r="L147">
        <f>INDEX(products!$A$1:$G$49,MATCH(orders!$D147,products!$A$1:$A$49,0),MATCH(orders!L$1,products!$A$1:$G$1,0))</f>
        <v>4.3650000000000002</v>
      </c>
      <c r="M147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_xlfn.XLOOKUP(C147,customers!$A$2:$A$1001,customers!$I$2:$I$1001,,0)</f>
        <v>No</v>
      </c>
    </row>
    <row r="148" spans="1:16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_xlfn.XLOOKUP(C148,customers!$A$1:$A$1001,customers!$C$1:$C$1001,,0)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>
        <f>INDEX(products!$A$1:$G$49,MATCH(orders!$D148,products!$A$1:$A$49,0),MATCH(orders!K$1,products!$A$1:$G$1,0))</f>
        <v>1</v>
      </c>
      <c r="L148">
        <f>INDEX(products!$A$1:$G$49,MATCH(orders!$D148,products!$A$1:$A$49,0),MATCH(orders!L$1,products!$A$1:$G$1,0))</f>
        <v>14.55</v>
      </c>
      <c r="M148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_xlfn.XLOOKUP(C148,customers!$A$2:$A$1001,customers!$I$2:$I$1001,,0)</f>
        <v>No</v>
      </c>
    </row>
    <row r="149" spans="1:16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_xlfn.XLOOKUP(C149,customers!$A$1:$A$1001,customers!$C$1:$C$1001,,0)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>
        <f>INDEX(products!$A$1:$G$49,MATCH(orders!$D149,products!$A$1:$A$49,0),MATCH(orders!K$1,products!$A$1:$G$1,0))</f>
        <v>1</v>
      </c>
      <c r="L149">
        <f>INDEX(products!$A$1:$G$49,MATCH(orders!$D149,products!$A$1:$A$49,0),MATCH(orders!L$1,products!$A$1:$G$1,0))</f>
        <v>13.75</v>
      </c>
      <c r="M149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_xlfn.XLOOKUP(C149,customers!$A$2:$A$1001,customers!$I$2:$I$1001,,0)</f>
        <v>No</v>
      </c>
    </row>
    <row r="150" spans="1:16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_xlfn.XLOOKUP(C150,customers!$A$1:$A$1001,customers!$C$1:$C$1001,,0)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>
        <f>INDEX(products!$A$1:$G$49,MATCH(orders!$D150,products!$A$1:$A$49,0),MATCH(orders!K$1,products!$A$1:$G$1,0))</f>
        <v>0.2</v>
      </c>
      <c r="L150">
        <f>INDEX(products!$A$1:$G$49,MATCH(orders!$D150,products!$A$1:$A$49,0),MATCH(orders!L$1,products!$A$1:$G$1,0))</f>
        <v>3.645</v>
      </c>
      <c r="M150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_xlfn.XLOOKUP(C150,customers!$A$2:$A$1001,customers!$I$2:$I$1001,,0)</f>
        <v>Yes</v>
      </c>
    </row>
    <row r="151" spans="1:16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>
        <f>_xlfn.XLOOKUP(C151,customers!$A$1:$A$1001,customers!$C$1:$C$1001,,0)</f>
        <v>0</v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>
        <f>INDEX(products!$A$1:$G$49,MATCH(orders!$D151,products!$A$1:$A$49,0),MATCH(orders!K$1,products!$A$1:$G$1,0))</f>
        <v>2.5</v>
      </c>
      <c r="L151">
        <f>INDEX(products!$A$1:$G$49,MATCH(orders!$D151,products!$A$1:$A$49,0),MATCH(orders!L$1,products!$A$1:$G$1,0))</f>
        <v>25.874999999999996</v>
      </c>
      <c r="M151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_xlfn.XLOOKUP(C151,customers!$A$2:$A$1001,customers!$I$2:$I$1001,,0)</f>
        <v>Yes</v>
      </c>
    </row>
    <row r="152" spans="1:16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_xlfn.XLOOKUP(C152,customers!$A$1:$A$1001,customers!$C$1:$C$1001,,0)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>
        <f>INDEX(products!$A$1:$G$49,MATCH(orders!$D152,products!$A$1:$A$49,0),MATCH(orders!K$1,products!$A$1:$G$1,0))</f>
        <v>1</v>
      </c>
      <c r="L152">
        <f>INDEX(products!$A$1:$G$49,MATCH(orders!$D152,products!$A$1:$A$49,0),MATCH(orders!L$1,products!$A$1:$G$1,0))</f>
        <v>12.95</v>
      </c>
      <c r="M152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_xlfn.XLOOKUP(C152,customers!$A$2:$A$1001,customers!$I$2:$I$1001,,0)</f>
        <v>Yes</v>
      </c>
    </row>
    <row r="153" spans="1:16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>
        <f>_xlfn.XLOOKUP(C153,customers!$A$1:$A$1001,customers!$C$1:$C$1001,,0)</f>
        <v>0</v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>
        <f>INDEX(products!$A$1:$G$49,MATCH(orders!$D153,products!$A$1:$A$49,0),MATCH(orders!K$1,products!$A$1:$G$1,0))</f>
        <v>1</v>
      </c>
      <c r="L153">
        <f>INDEX(products!$A$1:$G$49,MATCH(orders!$D153,products!$A$1:$A$49,0),MATCH(orders!L$1,products!$A$1:$G$1,0))</f>
        <v>11.25</v>
      </c>
      <c r="M153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_xlfn.XLOOKUP(C153,customers!$A$2:$A$1001,customers!$I$2:$I$1001,,0)</f>
        <v>Yes</v>
      </c>
    </row>
    <row r="154" spans="1:16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_xlfn.XLOOKUP(C154,customers!$A$1:$A$1001,customers!$C$1:$C$1001,,0)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>
        <f>INDEX(products!$A$1:$G$49,MATCH(orders!$D154,products!$A$1:$A$49,0),MATCH(orders!K$1,products!$A$1:$G$1,0))</f>
        <v>2.5</v>
      </c>
      <c r="L154">
        <f>INDEX(products!$A$1:$G$49,MATCH(orders!$D154,products!$A$1:$A$49,0),MATCH(orders!L$1,products!$A$1:$G$1,0))</f>
        <v>22.884999999999998</v>
      </c>
      <c r="M154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_xlfn.XLOOKUP(C154,customers!$A$2:$A$1001,customers!$I$2:$I$1001,,0)</f>
        <v>Yes</v>
      </c>
    </row>
    <row r="155" spans="1:16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>
        <f>_xlfn.XLOOKUP(C155,customers!$A$1:$A$1001,customers!$C$1:$C$1001,,0)</f>
        <v>0</v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>
        <f>INDEX(products!$A$1:$G$49,MATCH(orders!$D155,products!$A$1:$A$49,0),MATCH(orders!K$1,products!$A$1:$G$1,0))</f>
        <v>0.2</v>
      </c>
      <c r="L155">
        <f>INDEX(products!$A$1:$G$49,MATCH(orders!$D155,products!$A$1:$A$49,0),MATCH(orders!L$1,products!$A$1:$G$1,0))</f>
        <v>2.6849999999999996</v>
      </c>
      <c r="M15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_xlfn.XLOOKUP(C155,customers!$A$2:$A$1001,customers!$I$2:$I$1001,,0)</f>
        <v>No</v>
      </c>
    </row>
    <row r="156" spans="1:16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_xlfn.XLOOKUP(C156,customers!$A$1:$A$1001,customers!$C$1:$C$1001,,0)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>
        <f>INDEX(products!$A$1:$G$49,MATCH(orders!$D156,products!$A$1:$A$49,0),MATCH(orders!K$1,products!$A$1:$G$1,0))</f>
        <v>2.5</v>
      </c>
      <c r="L156">
        <f>INDEX(products!$A$1:$G$49,MATCH(orders!$D156,products!$A$1:$A$49,0),MATCH(orders!L$1,products!$A$1:$G$1,0))</f>
        <v>22.884999999999998</v>
      </c>
      <c r="M156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_xlfn.XLOOKUP(C156,customers!$A$2:$A$1001,customers!$I$2:$I$1001,,0)</f>
        <v>No</v>
      </c>
    </row>
    <row r="157" spans="1:16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_xlfn.XLOOKUP(C157,customers!$A$1:$A$1001,customers!$C$1:$C$1001,,0)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>
        <f>INDEX(products!$A$1:$G$49,MATCH(orders!$D157,products!$A$1:$A$49,0),MATCH(orders!K$1,products!$A$1:$G$1,0))</f>
        <v>2.5</v>
      </c>
      <c r="L157">
        <f>INDEX(products!$A$1:$G$49,MATCH(orders!$D157,products!$A$1:$A$49,0),MATCH(orders!L$1,products!$A$1:$G$1,0))</f>
        <v>25.874999999999996</v>
      </c>
      <c r="M157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_xlfn.XLOOKUP(C157,customers!$A$2:$A$1001,customers!$I$2:$I$1001,,0)</f>
        <v>Yes</v>
      </c>
    </row>
    <row r="158" spans="1:16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_xlfn.XLOOKUP(C158,customers!$A$1:$A$1001,customers!$C$1:$C$1001,,0)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>
        <f>INDEX(products!$A$1:$G$49,MATCH(orders!$D158,products!$A$1:$A$49,0),MATCH(orders!K$1,products!$A$1:$G$1,0))</f>
        <v>2.5</v>
      </c>
      <c r="L158">
        <f>INDEX(products!$A$1:$G$49,MATCH(orders!$D158,products!$A$1:$A$49,0),MATCH(orders!L$1,products!$A$1:$G$1,0))</f>
        <v>25.874999999999996</v>
      </c>
      <c r="M158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_xlfn.XLOOKUP(C158,customers!$A$2:$A$1001,customers!$I$2:$I$1001,,0)</f>
        <v>Yes</v>
      </c>
    </row>
    <row r="159" spans="1:16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_xlfn.XLOOKUP(C159,customers!$A$1:$A$1001,customers!$C$1:$C$1001,,0)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>
        <f>INDEX(products!$A$1:$G$49,MATCH(orders!$D159,products!$A$1:$A$49,0),MATCH(orders!K$1,products!$A$1:$G$1,0))</f>
        <v>2.5</v>
      </c>
      <c r="L159">
        <f>INDEX(products!$A$1:$G$49,MATCH(orders!$D159,products!$A$1:$A$49,0),MATCH(orders!L$1,products!$A$1:$G$1,0))</f>
        <v>20.584999999999997</v>
      </c>
      <c r="M159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_xlfn.XLOOKUP(C159,customers!$A$2:$A$1001,customers!$I$2:$I$1001,,0)</f>
        <v>No</v>
      </c>
    </row>
    <row r="160" spans="1:16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>
        <f>_xlfn.XLOOKUP(C160,customers!$A$1:$A$1001,customers!$C$1:$C$1001,,0)</f>
        <v>0</v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>
        <f>INDEX(products!$A$1:$G$49,MATCH(orders!$D160,products!$A$1:$A$49,0),MATCH(orders!K$1,products!$A$1:$G$1,0))</f>
        <v>2.5</v>
      </c>
      <c r="L160">
        <f>INDEX(products!$A$1:$G$49,MATCH(orders!$D160,products!$A$1:$A$49,0),MATCH(orders!L$1,products!$A$1:$G$1,0))</f>
        <v>20.584999999999997</v>
      </c>
      <c r="M160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_xlfn.XLOOKUP(C160,customers!$A$2:$A$1001,customers!$I$2:$I$1001,,0)</f>
        <v>Yes</v>
      </c>
    </row>
    <row r="161" spans="1:16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>
        <f>_xlfn.XLOOKUP(C161,customers!$A$1:$A$1001,customers!$C$1:$C$1001,,0)</f>
        <v>0</v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>
        <f>INDEX(products!$A$1:$G$49,MATCH(orders!$D161,products!$A$1:$A$49,0),MATCH(orders!K$1,products!$A$1:$G$1,0))</f>
        <v>2.5</v>
      </c>
      <c r="L161">
        <f>INDEX(products!$A$1:$G$49,MATCH(orders!$D161,products!$A$1:$A$49,0),MATCH(orders!L$1,products!$A$1:$G$1,0))</f>
        <v>36.454999999999998</v>
      </c>
      <c r="M161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_xlfn.XLOOKUP(C161,customers!$A$2:$A$1001,customers!$I$2:$I$1001,,0)</f>
        <v>No</v>
      </c>
    </row>
    <row r="162" spans="1:16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_xlfn.XLOOKUP(C162,customers!$A$1:$A$1001,customers!$C$1:$C$1001,,0)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>
        <f>INDEX(products!$A$1:$G$49,MATCH(orders!$D162,products!$A$1:$A$49,0),MATCH(orders!K$1,products!$A$1:$G$1,0))</f>
        <v>0.5</v>
      </c>
      <c r="L162">
        <f>INDEX(products!$A$1:$G$49,MATCH(orders!$D162,products!$A$1:$A$49,0),MATCH(orders!L$1,products!$A$1:$G$1,0))</f>
        <v>8.25</v>
      </c>
      <c r="M162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_xlfn.XLOOKUP(C162,customers!$A$2:$A$1001,customers!$I$2:$I$1001,,0)</f>
        <v>No</v>
      </c>
    </row>
    <row r="163" spans="1:16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_xlfn.XLOOKUP(C163,customers!$A$1:$A$1001,customers!$C$1:$C$1001,,0)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>
        <f>INDEX(products!$A$1:$G$49,MATCH(orders!$D163,products!$A$1:$A$49,0),MATCH(orders!K$1,products!$A$1:$G$1,0))</f>
        <v>0.5</v>
      </c>
      <c r="L163">
        <f>INDEX(products!$A$1:$G$49,MATCH(orders!$D163,products!$A$1:$A$49,0),MATCH(orders!L$1,products!$A$1:$G$1,0))</f>
        <v>7.77</v>
      </c>
      <c r="M163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_xlfn.XLOOKUP(C163,customers!$A$2:$A$1001,customers!$I$2:$I$1001,,0)</f>
        <v>No</v>
      </c>
    </row>
    <row r="164" spans="1:16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_xlfn.XLOOKUP(C164,customers!$A$1:$A$1001,customers!$C$1:$C$1001,,0)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>
        <f>INDEX(products!$A$1:$G$49,MATCH(orders!$D164,products!$A$1:$A$49,0),MATCH(orders!K$1,products!$A$1:$G$1,0))</f>
        <v>0.5</v>
      </c>
      <c r="L164">
        <f>INDEX(products!$A$1:$G$49,MATCH(orders!$D164,products!$A$1:$A$49,0),MATCH(orders!L$1,products!$A$1:$G$1,0))</f>
        <v>7.29</v>
      </c>
      <c r="M164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_xlfn.XLOOKUP(C164,customers!$A$2:$A$1001,customers!$I$2:$I$1001,,0)</f>
        <v>Yes</v>
      </c>
    </row>
    <row r="165" spans="1:16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_xlfn.XLOOKUP(C165,customers!$A$1:$A$1001,customers!$C$1:$C$1001,,0)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>
        <f>INDEX(products!$A$1:$G$49,MATCH(orders!$D165,products!$A$1:$A$49,0),MATCH(orders!K$1,products!$A$1:$G$1,0))</f>
        <v>0.2</v>
      </c>
      <c r="L165">
        <f>INDEX(products!$A$1:$G$49,MATCH(orders!$D165,products!$A$1:$A$49,0),MATCH(orders!L$1,products!$A$1:$G$1,0))</f>
        <v>2.6849999999999996</v>
      </c>
      <c r="M16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_xlfn.XLOOKUP(C165,customers!$A$2:$A$1001,customers!$I$2:$I$1001,,0)</f>
        <v>No</v>
      </c>
    </row>
    <row r="166" spans="1:16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_xlfn.XLOOKUP(C166,customers!$A$1:$A$1001,customers!$C$1:$C$1001,,0)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>
        <f>INDEX(products!$A$1:$G$49,MATCH(orders!$D166,products!$A$1:$A$49,0),MATCH(orders!K$1,products!$A$1:$G$1,0))</f>
        <v>0.5</v>
      </c>
      <c r="L166">
        <f>INDEX(products!$A$1:$G$49,MATCH(orders!$D166,products!$A$1:$A$49,0),MATCH(orders!L$1,products!$A$1:$G$1,0))</f>
        <v>7.29</v>
      </c>
      <c r="M166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_xlfn.XLOOKUP(C166,customers!$A$2:$A$1001,customers!$I$2:$I$1001,,0)</f>
        <v>No</v>
      </c>
    </row>
    <row r="167" spans="1:16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>
        <f>_xlfn.XLOOKUP(C167,customers!$A$1:$A$1001,customers!$C$1:$C$1001,,0)</f>
        <v>0</v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>
        <f>INDEX(products!$A$1:$G$49,MATCH(orders!$D167,products!$A$1:$A$49,0),MATCH(orders!K$1,products!$A$1:$G$1,0))</f>
        <v>1</v>
      </c>
      <c r="L167">
        <f>INDEX(products!$A$1:$G$49,MATCH(orders!$D167,products!$A$1:$A$49,0),MATCH(orders!L$1,products!$A$1:$G$1,0))</f>
        <v>8.9499999999999993</v>
      </c>
      <c r="M167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_xlfn.XLOOKUP(C167,customers!$A$2:$A$1001,customers!$I$2:$I$1001,,0)</f>
        <v>Yes</v>
      </c>
    </row>
    <row r="168" spans="1:16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>
        <f>_xlfn.XLOOKUP(C168,customers!$A$1:$A$1001,customers!$C$1:$C$1001,,0)</f>
        <v>0</v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>
        <f>INDEX(products!$A$1:$G$49,MATCH(orders!$D168,products!$A$1:$A$49,0),MATCH(orders!K$1,products!$A$1:$G$1,0))</f>
        <v>0.5</v>
      </c>
      <c r="L168">
        <f>INDEX(products!$A$1:$G$49,MATCH(orders!$D168,products!$A$1:$A$49,0),MATCH(orders!L$1,products!$A$1:$G$1,0))</f>
        <v>5.3699999999999992</v>
      </c>
      <c r="M168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_xlfn.XLOOKUP(C168,customers!$A$2:$A$1001,customers!$I$2:$I$1001,,0)</f>
        <v>Yes</v>
      </c>
    </row>
    <row r="169" spans="1:16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_xlfn.XLOOKUP(C169,customers!$A$1:$A$1001,customers!$C$1:$C$1001,,0)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>
        <f>INDEX(products!$A$1:$G$49,MATCH(orders!$D169,products!$A$1:$A$49,0),MATCH(orders!K$1,products!$A$1:$G$1,0))</f>
        <v>0.5</v>
      </c>
      <c r="L169">
        <f>INDEX(products!$A$1:$G$49,MATCH(orders!$D169,products!$A$1:$A$49,0),MATCH(orders!L$1,products!$A$1:$G$1,0))</f>
        <v>8.25</v>
      </c>
      <c r="M169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_xlfn.XLOOKUP(C169,customers!$A$2:$A$1001,customers!$I$2:$I$1001,,0)</f>
        <v>Yes</v>
      </c>
    </row>
    <row r="170" spans="1:16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>
        <f>_xlfn.XLOOKUP(C170,customers!$A$1:$A$1001,customers!$C$1:$C$1001,,0)</f>
        <v>0</v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>
        <f>INDEX(products!$A$1:$G$49,MATCH(orders!$D170,products!$A$1:$A$49,0),MATCH(orders!K$1,products!$A$1:$G$1,0))</f>
        <v>0.5</v>
      </c>
      <c r="L170">
        <f>INDEX(products!$A$1:$G$49,MATCH(orders!$D170,products!$A$1:$A$49,0),MATCH(orders!L$1,products!$A$1:$G$1,0))</f>
        <v>6.75</v>
      </c>
      <c r="M170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_xlfn.XLOOKUP(C170,customers!$A$2:$A$1001,customers!$I$2:$I$1001,,0)</f>
        <v>No</v>
      </c>
    </row>
    <row r="171" spans="1:16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_xlfn.XLOOKUP(C171,customers!$A$1:$A$1001,customers!$C$1:$C$1001,,0)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>
        <f>INDEX(products!$A$1:$G$49,MATCH(orders!$D171,products!$A$1:$A$49,0),MATCH(orders!K$1,products!$A$1:$G$1,0))</f>
        <v>1</v>
      </c>
      <c r="L171">
        <f>INDEX(products!$A$1:$G$49,MATCH(orders!$D171,products!$A$1:$A$49,0),MATCH(orders!L$1,products!$A$1:$G$1,0))</f>
        <v>8.9499999999999993</v>
      </c>
      <c r="M171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_xlfn.XLOOKUP(C171,customers!$A$2:$A$1001,customers!$I$2:$I$1001,,0)</f>
        <v>No</v>
      </c>
    </row>
    <row r="172" spans="1:16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_xlfn.XLOOKUP(C172,customers!$A$1:$A$1001,customers!$C$1:$C$1001,,0)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>
        <f>INDEX(products!$A$1:$G$49,MATCH(orders!$D172,products!$A$1:$A$49,0),MATCH(orders!K$1,products!$A$1:$G$1,0))</f>
        <v>2.5</v>
      </c>
      <c r="L172">
        <f>INDEX(products!$A$1:$G$49,MATCH(orders!$D172,products!$A$1:$A$49,0),MATCH(orders!L$1,products!$A$1:$G$1,0))</f>
        <v>34.154999999999994</v>
      </c>
      <c r="M172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_xlfn.XLOOKUP(C172,customers!$A$2:$A$1001,customers!$I$2:$I$1001,,0)</f>
        <v>No</v>
      </c>
    </row>
    <row r="173" spans="1:16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_xlfn.XLOOKUP(C173,customers!$A$1:$A$1001,customers!$C$1:$C$1001,,0)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>
        <f>INDEX(products!$A$1:$G$49,MATCH(orders!$D173,products!$A$1:$A$49,0),MATCH(orders!K$1,products!$A$1:$G$1,0))</f>
        <v>2.5</v>
      </c>
      <c r="L173">
        <f>INDEX(products!$A$1:$G$49,MATCH(orders!$D173,products!$A$1:$A$49,0),MATCH(orders!L$1,products!$A$1:$G$1,0))</f>
        <v>31.624999999999996</v>
      </c>
      <c r="M173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_xlfn.XLOOKUP(C173,customers!$A$2:$A$1001,customers!$I$2:$I$1001,,0)</f>
        <v>Yes</v>
      </c>
    </row>
    <row r="174" spans="1:16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_xlfn.XLOOKUP(C174,customers!$A$1:$A$1001,customers!$C$1:$C$1001,,0)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>
        <f>INDEX(products!$A$1:$G$49,MATCH(orders!$D174,products!$A$1:$A$49,0),MATCH(orders!K$1,products!$A$1:$G$1,0))</f>
        <v>0.5</v>
      </c>
      <c r="L174">
        <f>INDEX(products!$A$1:$G$49,MATCH(orders!$D174,products!$A$1:$A$49,0),MATCH(orders!L$1,products!$A$1:$G$1,0))</f>
        <v>7.29</v>
      </c>
      <c r="M174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_xlfn.XLOOKUP(C174,customers!$A$2:$A$1001,customers!$I$2:$I$1001,,0)</f>
        <v>No</v>
      </c>
    </row>
    <row r="175" spans="1:16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_xlfn.XLOOKUP(C175,customers!$A$1:$A$1001,customers!$C$1:$C$1001,,0)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>
        <f>INDEX(products!$A$1:$G$49,MATCH(orders!$D175,products!$A$1:$A$49,0),MATCH(orders!K$1,products!$A$1:$G$1,0))</f>
        <v>2.5</v>
      </c>
      <c r="L175">
        <f>INDEX(products!$A$1:$G$49,MATCH(orders!$D175,products!$A$1:$A$49,0),MATCH(orders!L$1,products!$A$1:$G$1,0))</f>
        <v>22.884999999999998</v>
      </c>
      <c r="M17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_xlfn.XLOOKUP(C175,customers!$A$2:$A$1001,customers!$I$2:$I$1001,,0)</f>
        <v>No</v>
      </c>
    </row>
    <row r="176" spans="1:16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>
        <f>_xlfn.XLOOKUP(C176,customers!$A$1:$A$1001,customers!$C$1:$C$1001,,0)</f>
        <v>0</v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>
        <f>INDEX(products!$A$1:$G$49,MATCH(orders!$D176,products!$A$1:$A$49,0),MATCH(orders!K$1,products!$A$1:$G$1,0))</f>
        <v>2.5</v>
      </c>
      <c r="L176">
        <f>INDEX(products!$A$1:$G$49,MATCH(orders!$D176,products!$A$1:$A$49,0),MATCH(orders!L$1,products!$A$1:$G$1,0))</f>
        <v>34.154999999999994</v>
      </c>
      <c r="M176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_xlfn.XLOOKUP(C176,customers!$A$2:$A$1001,customers!$I$2:$I$1001,,0)</f>
        <v>Yes</v>
      </c>
    </row>
    <row r="177" spans="1:16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_xlfn.XLOOKUP(C177,customers!$A$1:$A$1001,customers!$C$1:$C$1001,,0)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>
        <f>INDEX(products!$A$1:$G$49,MATCH(orders!$D177,products!$A$1:$A$49,0),MATCH(orders!K$1,products!$A$1:$G$1,0))</f>
        <v>2.5</v>
      </c>
      <c r="L177">
        <f>INDEX(products!$A$1:$G$49,MATCH(orders!$D177,products!$A$1:$A$49,0),MATCH(orders!L$1,products!$A$1:$G$1,0))</f>
        <v>31.624999999999996</v>
      </c>
      <c r="M177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_xlfn.XLOOKUP(C177,customers!$A$2:$A$1001,customers!$I$2:$I$1001,,0)</f>
        <v>Yes</v>
      </c>
    </row>
    <row r="178" spans="1:16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_xlfn.XLOOKUP(C178,customers!$A$1:$A$1001,customers!$C$1:$C$1001,,0)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>
        <f>INDEX(products!$A$1:$G$49,MATCH(orders!$D178,products!$A$1:$A$49,0),MATCH(orders!K$1,products!$A$1:$G$1,0))</f>
        <v>2.5</v>
      </c>
      <c r="L178">
        <f>INDEX(products!$A$1:$G$49,MATCH(orders!$D178,products!$A$1:$A$49,0),MATCH(orders!L$1,products!$A$1:$G$1,0))</f>
        <v>34.154999999999994</v>
      </c>
      <c r="M178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_xlfn.XLOOKUP(C178,customers!$A$2:$A$1001,customers!$I$2:$I$1001,,0)</f>
        <v>Yes</v>
      </c>
    </row>
    <row r="179" spans="1:16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_xlfn.XLOOKUP(C179,customers!$A$1:$A$1001,customers!$C$1:$C$1001,,0)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>
        <f>INDEX(products!$A$1:$G$49,MATCH(orders!$D179,products!$A$1:$A$49,0),MATCH(orders!K$1,products!$A$1:$G$1,0))</f>
        <v>2.5</v>
      </c>
      <c r="L179">
        <f>INDEX(products!$A$1:$G$49,MATCH(orders!$D179,products!$A$1:$A$49,0),MATCH(orders!L$1,products!$A$1:$G$1,0))</f>
        <v>27.484999999999996</v>
      </c>
      <c r="M179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_xlfn.XLOOKUP(C179,customers!$A$2:$A$1001,customers!$I$2:$I$1001,,0)</f>
        <v>Yes</v>
      </c>
    </row>
    <row r="180" spans="1:16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_xlfn.XLOOKUP(C180,customers!$A$1:$A$1001,customers!$C$1:$C$1001,,0)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>
        <f>INDEX(products!$A$1:$G$49,MATCH(orders!$D180,products!$A$1:$A$49,0),MATCH(orders!K$1,products!$A$1:$G$1,0))</f>
        <v>1</v>
      </c>
      <c r="L180">
        <f>INDEX(products!$A$1:$G$49,MATCH(orders!$D180,products!$A$1:$A$49,0),MATCH(orders!L$1,products!$A$1:$G$1,0))</f>
        <v>12.95</v>
      </c>
      <c r="M180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_xlfn.XLOOKUP(C180,customers!$A$2:$A$1001,customers!$I$2:$I$1001,,0)</f>
        <v>No</v>
      </c>
    </row>
    <row r="181" spans="1:16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>
        <f>_xlfn.XLOOKUP(C181,customers!$A$1:$A$1001,customers!$C$1:$C$1001,,0)</f>
        <v>0</v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>
        <f>INDEX(products!$A$1:$G$49,MATCH(orders!$D181,products!$A$1:$A$49,0),MATCH(orders!K$1,products!$A$1:$G$1,0))</f>
        <v>0.2</v>
      </c>
      <c r="L181">
        <f>INDEX(products!$A$1:$G$49,MATCH(orders!$D181,products!$A$1:$A$49,0),MATCH(orders!L$1,products!$A$1:$G$1,0))</f>
        <v>2.9849999999999999</v>
      </c>
      <c r="M181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_xlfn.XLOOKUP(C181,customers!$A$2:$A$1001,customers!$I$2:$I$1001,,0)</f>
        <v>No</v>
      </c>
    </row>
    <row r="182" spans="1:16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_xlfn.XLOOKUP(C182,customers!$A$1:$A$1001,customers!$C$1:$C$1001,,0)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>
        <f>INDEX(products!$A$1:$G$49,MATCH(orders!$D182,products!$A$1:$A$49,0),MATCH(orders!K$1,products!$A$1:$G$1,0))</f>
        <v>0.2</v>
      </c>
      <c r="L182">
        <f>INDEX(products!$A$1:$G$49,MATCH(orders!$D182,products!$A$1:$A$49,0),MATCH(orders!L$1,products!$A$1:$G$1,0))</f>
        <v>4.4550000000000001</v>
      </c>
      <c r="M182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_xlfn.XLOOKUP(C182,customers!$A$2:$A$1001,customers!$I$2:$I$1001,,0)</f>
        <v>No</v>
      </c>
    </row>
    <row r="183" spans="1:16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_xlfn.XLOOKUP(C183,customers!$A$1:$A$1001,customers!$C$1:$C$1001,,0)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>
        <f>INDEX(products!$A$1:$G$49,MATCH(orders!$D183,products!$A$1:$A$49,0),MATCH(orders!K$1,products!$A$1:$G$1,0))</f>
        <v>0.5</v>
      </c>
      <c r="L183">
        <f>INDEX(products!$A$1:$G$49,MATCH(orders!$D183,products!$A$1:$A$49,0),MATCH(orders!L$1,products!$A$1:$G$1,0))</f>
        <v>5.97</v>
      </c>
      <c r="M183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_xlfn.XLOOKUP(C183,customers!$A$2:$A$1001,customers!$I$2:$I$1001,,0)</f>
        <v>No</v>
      </c>
    </row>
    <row r="184" spans="1:16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_xlfn.XLOOKUP(C184,customers!$A$1:$A$1001,customers!$C$1:$C$1001,,0)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>
        <f>INDEX(products!$A$1:$G$49,MATCH(orders!$D184,products!$A$1:$A$49,0),MATCH(orders!K$1,products!$A$1:$G$1,0))</f>
        <v>0.5</v>
      </c>
      <c r="L184">
        <f>INDEX(products!$A$1:$G$49,MATCH(orders!$D184,products!$A$1:$A$49,0),MATCH(orders!L$1,products!$A$1:$G$1,0))</f>
        <v>5.3699999999999992</v>
      </c>
      <c r="M184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_xlfn.XLOOKUP(C184,customers!$A$2:$A$1001,customers!$I$2:$I$1001,,0)</f>
        <v>No</v>
      </c>
    </row>
    <row r="185" spans="1:16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_xlfn.XLOOKUP(C185,customers!$A$1:$A$1001,customers!$C$1:$C$1001,,0)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>
        <f>INDEX(products!$A$1:$G$49,MATCH(orders!$D185,products!$A$1:$A$49,0),MATCH(orders!K$1,products!$A$1:$G$1,0))</f>
        <v>0.2</v>
      </c>
      <c r="L185">
        <f>INDEX(products!$A$1:$G$49,MATCH(orders!$D185,products!$A$1:$A$49,0),MATCH(orders!L$1,products!$A$1:$G$1,0))</f>
        <v>4.125</v>
      </c>
      <c r="M18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_xlfn.XLOOKUP(C185,customers!$A$2:$A$1001,customers!$I$2:$I$1001,,0)</f>
        <v>No</v>
      </c>
    </row>
    <row r="186" spans="1:16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_xlfn.XLOOKUP(C186,customers!$A$1:$A$1001,customers!$C$1:$C$1001,,0)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>
        <f>INDEX(products!$A$1:$G$49,MATCH(orders!$D186,products!$A$1:$A$49,0),MATCH(orders!K$1,products!$A$1:$G$1,0))</f>
        <v>0.5</v>
      </c>
      <c r="L186">
        <f>INDEX(products!$A$1:$G$49,MATCH(orders!$D186,products!$A$1:$A$49,0),MATCH(orders!L$1,products!$A$1:$G$1,0))</f>
        <v>7.77</v>
      </c>
      <c r="M186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_xlfn.XLOOKUP(C186,customers!$A$2:$A$1001,customers!$I$2:$I$1001,,0)</f>
        <v>No</v>
      </c>
    </row>
    <row r="187" spans="1:16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_xlfn.XLOOKUP(C187,customers!$A$1:$A$1001,customers!$C$1:$C$1001,,0)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>
        <f>INDEX(products!$A$1:$G$49,MATCH(orders!$D187,products!$A$1:$A$49,0),MATCH(orders!K$1,products!$A$1:$G$1,0))</f>
        <v>0.5</v>
      </c>
      <c r="L187">
        <f>INDEX(products!$A$1:$G$49,MATCH(orders!$D187,products!$A$1:$A$49,0),MATCH(orders!L$1,products!$A$1:$G$1,0))</f>
        <v>7.29</v>
      </c>
      <c r="M187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_xlfn.XLOOKUP(C187,customers!$A$2:$A$1001,customers!$I$2:$I$1001,,0)</f>
        <v>Yes</v>
      </c>
    </row>
    <row r="188" spans="1:16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_xlfn.XLOOKUP(C188,customers!$A$1:$A$1001,customers!$C$1:$C$1001,,0)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>
        <f>INDEX(products!$A$1:$G$49,MATCH(orders!$D188,products!$A$1:$A$49,0),MATCH(orders!K$1,products!$A$1:$G$1,0))</f>
        <v>2.5</v>
      </c>
      <c r="L188">
        <f>INDEX(products!$A$1:$G$49,MATCH(orders!$D188,products!$A$1:$A$49,0),MATCH(orders!L$1,products!$A$1:$G$1,0))</f>
        <v>22.884999999999998</v>
      </c>
      <c r="M188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_xlfn.XLOOKUP(C188,customers!$A$2:$A$1001,customers!$I$2:$I$1001,,0)</f>
        <v>No</v>
      </c>
    </row>
    <row r="189" spans="1:16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_xlfn.XLOOKUP(C189,customers!$A$1:$A$1001,customers!$C$1:$C$1001,,0)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>
        <f>INDEX(products!$A$1:$G$49,MATCH(orders!$D189,products!$A$1:$A$49,0),MATCH(orders!K$1,products!$A$1:$G$1,0))</f>
        <v>0.5</v>
      </c>
      <c r="L189">
        <f>INDEX(products!$A$1:$G$49,MATCH(orders!$D189,products!$A$1:$A$49,0),MATCH(orders!L$1,products!$A$1:$G$1,0))</f>
        <v>8.73</v>
      </c>
      <c r="M189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_xlfn.XLOOKUP(C189,customers!$A$2:$A$1001,customers!$I$2:$I$1001,,0)</f>
        <v>Yes</v>
      </c>
    </row>
    <row r="190" spans="1:16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_xlfn.XLOOKUP(C190,customers!$A$1:$A$1001,customers!$C$1:$C$1001,,0)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>
        <f>INDEX(products!$A$1:$G$49,MATCH(orders!$D190,products!$A$1:$A$49,0),MATCH(orders!K$1,products!$A$1:$G$1,0))</f>
        <v>0.2</v>
      </c>
      <c r="L190">
        <f>INDEX(products!$A$1:$G$49,MATCH(orders!$D190,products!$A$1:$A$49,0),MATCH(orders!L$1,products!$A$1:$G$1,0))</f>
        <v>4.4550000000000001</v>
      </c>
      <c r="M190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_xlfn.XLOOKUP(C190,customers!$A$2:$A$1001,customers!$I$2:$I$1001,,0)</f>
        <v>Yes</v>
      </c>
    </row>
    <row r="191" spans="1:16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_xlfn.XLOOKUP(C191,customers!$A$1:$A$1001,customers!$C$1:$C$1001,,0)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>
        <f>INDEX(products!$A$1:$G$49,MATCH(orders!$D191,products!$A$1:$A$49,0),MATCH(orders!K$1,products!$A$1:$G$1,0))</f>
        <v>1</v>
      </c>
      <c r="L191">
        <f>INDEX(products!$A$1:$G$49,MATCH(orders!$D191,products!$A$1:$A$49,0),MATCH(orders!L$1,products!$A$1:$G$1,0))</f>
        <v>14.55</v>
      </c>
      <c r="M191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_xlfn.XLOOKUP(C191,customers!$A$2:$A$1001,customers!$I$2:$I$1001,,0)</f>
        <v>Yes</v>
      </c>
    </row>
    <row r="192" spans="1:16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_xlfn.XLOOKUP(C192,customers!$A$1:$A$1001,customers!$C$1:$C$1001,,0)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>
        <f>INDEX(products!$A$1:$G$49,MATCH(orders!$D192,products!$A$1:$A$49,0),MATCH(orders!K$1,products!$A$1:$G$1,0))</f>
        <v>2.5</v>
      </c>
      <c r="L192">
        <f>INDEX(products!$A$1:$G$49,MATCH(orders!$D192,products!$A$1:$A$49,0),MATCH(orders!L$1,products!$A$1:$G$1,0))</f>
        <v>33.464999999999996</v>
      </c>
      <c r="M192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_xlfn.XLOOKUP(C192,customers!$A$2:$A$1001,customers!$I$2:$I$1001,,0)</f>
        <v>Yes</v>
      </c>
    </row>
    <row r="193" spans="1:16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_xlfn.XLOOKUP(C193,customers!$A$1:$A$1001,customers!$C$1:$C$1001,,0)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>
        <f>INDEX(products!$A$1:$G$49,MATCH(orders!$D193,products!$A$1:$A$49,0),MATCH(orders!K$1,products!$A$1:$G$1,0))</f>
        <v>0.2</v>
      </c>
      <c r="L193">
        <f>INDEX(products!$A$1:$G$49,MATCH(orders!$D193,products!$A$1:$A$49,0),MATCH(orders!L$1,products!$A$1:$G$1,0))</f>
        <v>3.8849999999999998</v>
      </c>
      <c r="M193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_xlfn.XLOOKUP(C193,customers!$A$2:$A$1001,customers!$I$2:$I$1001,,0)</f>
        <v>Yes</v>
      </c>
    </row>
    <row r="194" spans="1:16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_xlfn.XLOOKUP(C194,customers!$A$1:$A$1001,customers!$C$1:$C$1001,,0)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>
        <f>INDEX(products!$A$1:$G$49,MATCH(orders!$D194,products!$A$1:$A$49,0),MATCH(orders!K$1,products!$A$1:$G$1,0))</f>
        <v>1</v>
      </c>
      <c r="L194">
        <f>INDEX(products!$A$1:$G$49,MATCH(orders!$D194,products!$A$1:$A$49,0),MATCH(orders!L$1,products!$A$1:$G$1,0))</f>
        <v>12.15</v>
      </c>
      <c r="M194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_xlfn.XLOOKUP(C194,customers!$A$2:$A$1001,customers!$I$2:$I$1001,,0)</f>
        <v>Yes</v>
      </c>
    </row>
    <row r="195" spans="1:16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>
        <f>_xlfn.XLOOKUP(C195,customers!$A$1:$A$1001,customers!$C$1:$C$1001,,0)</f>
        <v>0</v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>
        <f>INDEX(products!$A$1:$G$49,MATCH(orders!$D195,products!$A$1:$A$49,0),MATCH(orders!K$1,products!$A$1:$G$1,0))</f>
        <v>1</v>
      </c>
      <c r="L195">
        <f>INDEX(products!$A$1:$G$49,MATCH(orders!$D195,products!$A$1:$A$49,0),MATCH(orders!L$1,products!$A$1:$G$1,0))</f>
        <v>14.85</v>
      </c>
      <c r="M195">
        <f t="shared" ref="M195:M258" si="9">L195*E195</f>
        <v>44.55</v>
      </c>
      <c r="N195" t="str">
        <f t="shared" ref="N195:N258" si="10">IF(I195="Rob","Robusta",IF(I195="Exc","Excelsa",IF(I195="Lib","Liberica",IF(I195="Ara","Arabica"))))</f>
        <v>Excelsa</v>
      </c>
      <c r="O195" t="str">
        <f t="shared" si="8"/>
        <v>Light</v>
      </c>
      <c r="P195" t="str">
        <f>_xlfn.XLOOKUP(C195,customers!$A$2:$A$1001,customers!$I$2:$I$1001,,0)</f>
        <v>No</v>
      </c>
    </row>
    <row r="196" spans="1:16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_xlfn.XLOOKUP(C196,customers!$A$1:$A$1001,customers!$C$1:$C$1001,,0)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>
        <f>INDEX(products!$A$1:$G$49,MATCH(orders!$D196,products!$A$1:$A$49,0),MATCH(orders!K$1,products!$A$1:$G$1,0))</f>
        <v>0.5</v>
      </c>
      <c r="L196">
        <f>INDEX(products!$A$1:$G$49,MATCH(orders!$D196,products!$A$1:$A$49,0),MATCH(orders!L$1,products!$A$1:$G$1,0))</f>
        <v>7.29</v>
      </c>
      <c r="M196">
        <f t="shared" si="9"/>
        <v>36.450000000000003</v>
      </c>
      <c r="N196" t="str">
        <f t="shared" si="10"/>
        <v>Excelsa</v>
      </c>
      <c r="O196" t="str">
        <f t="shared" si="8"/>
        <v>Dark</v>
      </c>
      <c r="P196" t="str">
        <f>_xlfn.XLOOKUP(C196,customers!$A$2:$A$1001,customers!$I$2:$I$1001,,0)</f>
        <v>No</v>
      </c>
    </row>
    <row r="197" spans="1:16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_xlfn.XLOOKUP(C197,customers!$A$1:$A$1001,customers!$C$1:$C$1001,,0)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>
        <f>INDEX(products!$A$1:$G$49,MATCH(orders!$D197,products!$A$1:$A$49,0),MATCH(orders!K$1,products!$A$1:$G$1,0))</f>
        <v>1</v>
      </c>
      <c r="L197">
        <f>INDEX(products!$A$1:$G$49,MATCH(orders!$D197,products!$A$1:$A$49,0),MATCH(orders!L$1,products!$A$1:$G$1,0))</f>
        <v>12.95</v>
      </c>
      <c r="M197">
        <f t="shared" si="9"/>
        <v>38.849999999999994</v>
      </c>
      <c r="N197" t="str">
        <f t="shared" si="10"/>
        <v>Arabica</v>
      </c>
      <c r="O197" t="str">
        <f t="shared" ref="O197:O260" si="11">IF(J197="L","Light",IF(J197="M","Medium",IF(J197="D","Dark")))</f>
        <v>Light</v>
      </c>
      <c r="P197" t="str">
        <f>_xlfn.XLOOKUP(C197,customers!$A$2:$A$1001,customers!$I$2:$I$1001,,0)</f>
        <v>No</v>
      </c>
    </row>
    <row r="198" spans="1:16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_xlfn.XLOOKUP(C198,customers!$A$1:$A$1001,customers!$C$1:$C$1001,,0)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>
        <f>INDEX(products!$A$1:$G$49,MATCH(orders!$D198,products!$A$1:$A$49,0),MATCH(orders!K$1,products!$A$1:$G$1,0))</f>
        <v>0.5</v>
      </c>
      <c r="L198">
        <f>INDEX(products!$A$1:$G$49,MATCH(orders!$D198,products!$A$1:$A$49,0),MATCH(orders!L$1,products!$A$1:$G$1,0))</f>
        <v>8.91</v>
      </c>
      <c r="M198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_xlfn.XLOOKUP(C198,customers!$A$2:$A$1001,customers!$I$2:$I$1001,,0)</f>
        <v>No</v>
      </c>
    </row>
    <row r="199" spans="1:16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_xlfn.XLOOKUP(C199,customers!$A$1:$A$1001,customers!$C$1:$C$1001,,0)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>
        <f>INDEX(products!$A$1:$G$49,MATCH(orders!$D199,products!$A$1:$A$49,0),MATCH(orders!K$1,products!$A$1:$G$1,0))</f>
        <v>2.5</v>
      </c>
      <c r="L199">
        <f>INDEX(products!$A$1:$G$49,MATCH(orders!$D199,products!$A$1:$A$49,0),MATCH(orders!L$1,products!$A$1:$G$1,0))</f>
        <v>29.784999999999997</v>
      </c>
      <c r="M199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_xlfn.XLOOKUP(C199,customers!$A$2:$A$1001,customers!$I$2:$I$1001,,0)</f>
        <v>No</v>
      </c>
    </row>
    <row r="200" spans="1:16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_xlfn.XLOOKUP(C200,customers!$A$1:$A$1001,customers!$C$1:$C$1001,,0)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>
        <f>INDEX(products!$A$1:$G$49,MATCH(orders!$D200,products!$A$1:$A$49,0),MATCH(orders!K$1,products!$A$1:$G$1,0))</f>
        <v>2.5</v>
      </c>
      <c r="L200">
        <f>INDEX(products!$A$1:$G$49,MATCH(orders!$D200,products!$A$1:$A$49,0),MATCH(orders!L$1,products!$A$1:$G$1,0))</f>
        <v>29.784999999999997</v>
      </c>
      <c r="M200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_xlfn.XLOOKUP(C200,customers!$A$2:$A$1001,customers!$I$2:$I$1001,,0)</f>
        <v>No</v>
      </c>
    </row>
    <row r="201" spans="1:16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_xlfn.XLOOKUP(C201,customers!$A$1:$A$1001,customers!$C$1:$C$1001,,0)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>
        <f>INDEX(products!$A$1:$G$49,MATCH(orders!$D201,products!$A$1:$A$49,0),MATCH(orders!K$1,products!$A$1:$G$1,0))</f>
        <v>0.5</v>
      </c>
      <c r="L201">
        <f>INDEX(products!$A$1:$G$49,MATCH(orders!$D201,products!$A$1:$A$49,0),MATCH(orders!L$1,products!$A$1:$G$1,0))</f>
        <v>9.51</v>
      </c>
      <c r="M201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_xlfn.XLOOKUP(C201,customers!$A$2:$A$1001,customers!$I$2:$I$1001,,0)</f>
        <v>No</v>
      </c>
    </row>
    <row r="202" spans="1:16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_xlfn.XLOOKUP(C202,customers!$A$1:$A$1001,customers!$C$1:$C$1001,,0)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>
        <f>INDEX(products!$A$1:$G$49,MATCH(orders!$D202,products!$A$1:$A$49,0),MATCH(orders!K$1,products!$A$1:$G$1,0))</f>
        <v>1</v>
      </c>
      <c r="L202">
        <f>INDEX(products!$A$1:$G$49,MATCH(orders!$D202,products!$A$1:$A$49,0),MATCH(orders!L$1,products!$A$1:$G$1,0))</f>
        <v>13.75</v>
      </c>
      <c r="M202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_xlfn.XLOOKUP(C202,customers!$A$2:$A$1001,customers!$I$2:$I$1001,,0)</f>
        <v>No</v>
      </c>
    </row>
    <row r="203" spans="1:16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>
        <f>_xlfn.XLOOKUP(C203,customers!$A$1:$A$1001,customers!$C$1:$C$1001,,0)</f>
        <v>0</v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>
        <f>INDEX(products!$A$1:$G$49,MATCH(orders!$D203,products!$A$1:$A$49,0),MATCH(orders!K$1,products!$A$1:$G$1,0))</f>
        <v>0.5</v>
      </c>
      <c r="L203">
        <f>INDEX(products!$A$1:$G$49,MATCH(orders!$D203,products!$A$1:$A$49,0),MATCH(orders!L$1,products!$A$1:$G$1,0))</f>
        <v>9.51</v>
      </c>
      <c r="M203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_xlfn.XLOOKUP(C203,customers!$A$2:$A$1001,customers!$I$2:$I$1001,,0)</f>
        <v>No</v>
      </c>
    </row>
    <row r="204" spans="1:16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_xlfn.XLOOKUP(C204,customers!$A$1:$A$1001,customers!$C$1:$C$1001,,0)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>
        <f>INDEX(products!$A$1:$G$49,MATCH(orders!$D204,products!$A$1:$A$49,0),MATCH(orders!K$1,products!$A$1:$G$1,0))</f>
        <v>2.5</v>
      </c>
      <c r="L204">
        <f>INDEX(products!$A$1:$G$49,MATCH(orders!$D204,products!$A$1:$A$49,0),MATCH(orders!L$1,products!$A$1:$G$1,0))</f>
        <v>29.784999999999997</v>
      </c>
      <c r="M204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_xlfn.XLOOKUP(C204,customers!$A$2:$A$1001,customers!$I$2:$I$1001,,0)</f>
        <v>Yes</v>
      </c>
    </row>
    <row r="205" spans="1:16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_xlfn.XLOOKUP(C205,customers!$A$1:$A$1001,customers!$C$1:$C$1001,,0)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>
        <f>INDEX(products!$A$1:$G$49,MATCH(orders!$D205,products!$A$1:$A$49,0),MATCH(orders!K$1,products!$A$1:$G$1,0))</f>
        <v>0.2</v>
      </c>
      <c r="L205">
        <f>INDEX(products!$A$1:$G$49,MATCH(orders!$D205,products!$A$1:$A$49,0),MATCH(orders!L$1,products!$A$1:$G$1,0))</f>
        <v>4.7549999999999999</v>
      </c>
      <c r="M20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_xlfn.XLOOKUP(C205,customers!$A$2:$A$1001,customers!$I$2:$I$1001,,0)</f>
        <v>No</v>
      </c>
    </row>
    <row r="206" spans="1:16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>
        <f>_xlfn.XLOOKUP(C206,customers!$A$1:$A$1001,customers!$C$1:$C$1001,,0)</f>
        <v>0</v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>
        <f>INDEX(products!$A$1:$G$49,MATCH(orders!$D206,products!$A$1:$A$49,0),MATCH(orders!K$1,products!$A$1:$G$1,0))</f>
        <v>1</v>
      </c>
      <c r="L206">
        <f>INDEX(products!$A$1:$G$49,MATCH(orders!$D206,products!$A$1:$A$49,0),MATCH(orders!L$1,products!$A$1:$G$1,0))</f>
        <v>13.75</v>
      </c>
      <c r="M206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_xlfn.XLOOKUP(C206,customers!$A$2:$A$1001,customers!$I$2:$I$1001,,0)</f>
        <v>No</v>
      </c>
    </row>
    <row r="207" spans="1:16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>
        <f>_xlfn.XLOOKUP(C207,customers!$A$1:$A$1001,customers!$C$1:$C$1001,,0)</f>
        <v>0</v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>
        <f>INDEX(products!$A$1:$G$49,MATCH(orders!$D207,products!$A$1:$A$49,0),MATCH(orders!K$1,products!$A$1:$G$1,0))</f>
        <v>0.2</v>
      </c>
      <c r="L207">
        <f>INDEX(products!$A$1:$G$49,MATCH(orders!$D207,products!$A$1:$A$49,0),MATCH(orders!L$1,products!$A$1:$G$1,0))</f>
        <v>2.6849999999999996</v>
      </c>
      <c r="M207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_xlfn.XLOOKUP(C207,customers!$A$2:$A$1001,customers!$I$2:$I$1001,,0)</f>
        <v>Yes</v>
      </c>
    </row>
    <row r="208" spans="1:16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_xlfn.XLOOKUP(C208,customers!$A$1:$A$1001,customers!$C$1:$C$1001,,0)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>
        <f>INDEX(products!$A$1:$G$49,MATCH(orders!$D208,products!$A$1:$A$49,0),MATCH(orders!K$1,products!$A$1:$G$1,0))</f>
        <v>1</v>
      </c>
      <c r="L208">
        <f>INDEX(products!$A$1:$G$49,MATCH(orders!$D208,products!$A$1:$A$49,0),MATCH(orders!L$1,products!$A$1:$G$1,0))</f>
        <v>11.25</v>
      </c>
      <c r="M208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_xlfn.XLOOKUP(C208,customers!$A$2:$A$1001,customers!$I$2:$I$1001,,0)</f>
        <v>No</v>
      </c>
    </row>
    <row r="209" spans="1:16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_xlfn.XLOOKUP(C209,customers!$A$1:$A$1001,customers!$C$1:$C$1001,,0)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>
        <f>INDEX(products!$A$1:$G$49,MATCH(orders!$D209,products!$A$1:$A$49,0),MATCH(orders!K$1,products!$A$1:$G$1,0))</f>
        <v>0.5</v>
      </c>
      <c r="L209">
        <f>INDEX(products!$A$1:$G$49,MATCH(orders!$D209,products!$A$1:$A$49,0),MATCH(orders!L$1,products!$A$1:$G$1,0))</f>
        <v>6.75</v>
      </c>
      <c r="M209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_xlfn.XLOOKUP(C209,customers!$A$2:$A$1001,customers!$I$2:$I$1001,,0)</f>
        <v>Yes</v>
      </c>
    </row>
    <row r="210" spans="1:16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_xlfn.XLOOKUP(C210,customers!$A$1:$A$1001,customers!$C$1:$C$1001,,0)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>
        <f>INDEX(products!$A$1:$G$49,MATCH(orders!$D210,products!$A$1:$A$49,0),MATCH(orders!K$1,products!$A$1:$G$1,0))</f>
        <v>0.5</v>
      </c>
      <c r="L210">
        <f>INDEX(products!$A$1:$G$49,MATCH(orders!$D210,products!$A$1:$A$49,0),MATCH(orders!L$1,products!$A$1:$G$1,0))</f>
        <v>7.29</v>
      </c>
      <c r="M210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_xlfn.XLOOKUP(C210,customers!$A$2:$A$1001,customers!$I$2:$I$1001,,0)</f>
        <v>Yes</v>
      </c>
    </row>
    <row r="211" spans="1:16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_xlfn.XLOOKUP(C211,customers!$A$1:$A$1001,customers!$C$1:$C$1001,,0)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>
        <f>INDEX(products!$A$1:$G$49,MATCH(orders!$D211,products!$A$1:$A$49,0),MATCH(orders!K$1,products!$A$1:$G$1,0))</f>
        <v>0.5</v>
      </c>
      <c r="L211">
        <f>INDEX(products!$A$1:$G$49,MATCH(orders!$D211,products!$A$1:$A$49,0),MATCH(orders!L$1,products!$A$1:$G$1,0))</f>
        <v>6.75</v>
      </c>
      <c r="M211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_xlfn.XLOOKUP(C211,customers!$A$2:$A$1001,customers!$I$2:$I$1001,,0)</f>
        <v>No</v>
      </c>
    </row>
    <row r="212" spans="1:16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_xlfn.XLOOKUP(C212,customers!$A$1:$A$1001,customers!$C$1:$C$1001,,0)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>
        <f>INDEX(products!$A$1:$G$49,MATCH(orders!$D212,products!$A$1:$A$49,0),MATCH(orders!K$1,products!$A$1:$G$1,0))</f>
        <v>1</v>
      </c>
      <c r="L212">
        <f>INDEX(products!$A$1:$G$49,MATCH(orders!$D212,products!$A$1:$A$49,0),MATCH(orders!L$1,products!$A$1:$G$1,0))</f>
        <v>12.95</v>
      </c>
      <c r="M212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_xlfn.XLOOKUP(C212,customers!$A$2:$A$1001,customers!$I$2:$I$1001,,0)</f>
        <v>Yes</v>
      </c>
    </row>
    <row r="213" spans="1:16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_xlfn.XLOOKUP(C213,customers!$A$1:$A$1001,customers!$C$1:$C$1001,,0)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>
        <f>INDEX(products!$A$1:$G$49,MATCH(orders!$D213,products!$A$1:$A$49,0),MATCH(orders!K$1,products!$A$1:$G$1,0))</f>
        <v>0.5</v>
      </c>
      <c r="L213">
        <f>INDEX(products!$A$1:$G$49,MATCH(orders!$D213,products!$A$1:$A$49,0),MATCH(orders!L$1,products!$A$1:$G$1,0))</f>
        <v>8.91</v>
      </c>
      <c r="M213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_xlfn.XLOOKUP(C213,customers!$A$2:$A$1001,customers!$I$2:$I$1001,,0)</f>
        <v>No</v>
      </c>
    </row>
    <row r="214" spans="1:16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_xlfn.XLOOKUP(C214,customers!$A$1:$A$1001,customers!$C$1:$C$1001,,0)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>
        <f>INDEX(products!$A$1:$G$49,MATCH(orders!$D214,products!$A$1:$A$49,0),MATCH(orders!K$1,products!$A$1:$G$1,0))</f>
        <v>0.2</v>
      </c>
      <c r="L214">
        <f>INDEX(products!$A$1:$G$49,MATCH(orders!$D214,products!$A$1:$A$49,0),MATCH(orders!L$1,products!$A$1:$G$1,0))</f>
        <v>3.645</v>
      </c>
      <c r="M214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_xlfn.XLOOKUP(C214,customers!$A$2:$A$1001,customers!$I$2:$I$1001,,0)</f>
        <v>Yes</v>
      </c>
    </row>
    <row r="215" spans="1:16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_xlfn.XLOOKUP(C215,customers!$A$1:$A$1001,customers!$C$1:$C$1001,,0)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>
        <f>INDEX(products!$A$1:$G$49,MATCH(orders!$D215,products!$A$1:$A$49,0),MATCH(orders!K$1,products!$A$1:$G$1,0))</f>
        <v>2.5</v>
      </c>
      <c r="L215">
        <f>INDEX(products!$A$1:$G$49,MATCH(orders!$D215,products!$A$1:$A$49,0),MATCH(orders!L$1,products!$A$1:$G$1,0))</f>
        <v>20.584999999999997</v>
      </c>
      <c r="M21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_xlfn.XLOOKUP(C215,customers!$A$2:$A$1001,customers!$I$2:$I$1001,,0)</f>
        <v>No</v>
      </c>
    </row>
    <row r="216" spans="1:16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_xlfn.XLOOKUP(C216,customers!$A$1:$A$1001,customers!$C$1:$C$1001,,0)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>
        <f>INDEX(products!$A$1:$G$49,MATCH(orders!$D216,products!$A$1:$A$49,0),MATCH(orders!K$1,products!$A$1:$G$1,0))</f>
        <v>1</v>
      </c>
      <c r="L216">
        <f>INDEX(products!$A$1:$G$49,MATCH(orders!$D216,products!$A$1:$A$49,0),MATCH(orders!L$1,products!$A$1:$G$1,0))</f>
        <v>15.85</v>
      </c>
      <c r="M216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_xlfn.XLOOKUP(C216,customers!$A$2:$A$1001,customers!$I$2:$I$1001,,0)</f>
        <v>No</v>
      </c>
    </row>
    <row r="217" spans="1:16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_xlfn.XLOOKUP(C217,customers!$A$1:$A$1001,customers!$C$1:$C$1001,,0)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>
        <f>INDEX(products!$A$1:$G$49,MATCH(orders!$D217,products!$A$1:$A$49,0),MATCH(orders!K$1,products!$A$1:$G$1,0))</f>
        <v>0.2</v>
      </c>
      <c r="L217">
        <f>INDEX(products!$A$1:$G$49,MATCH(orders!$D217,products!$A$1:$A$49,0),MATCH(orders!L$1,products!$A$1:$G$1,0))</f>
        <v>3.8849999999999998</v>
      </c>
      <c r="M217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_xlfn.XLOOKUP(C217,customers!$A$2:$A$1001,customers!$I$2:$I$1001,,0)</f>
        <v>No</v>
      </c>
    </row>
    <row r="218" spans="1:16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_xlfn.XLOOKUP(C218,customers!$A$1:$A$1001,customers!$C$1:$C$1001,,0)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>
        <f>INDEX(products!$A$1:$G$49,MATCH(orders!$D218,products!$A$1:$A$49,0),MATCH(orders!K$1,products!$A$1:$G$1,0))</f>
        <v>1</v>
      </c>
      <c r="L218">
        <f>INDEX(products!$A$1:$G$49,MATCH(orders!$D218,products!$A$1:$A$49,0),MATCH(orders!L$1,products!$A$1:$G$1,0))</f>
        <v>14.55</v>
      </c>
      <c r="M218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_xlfn.XLOOKUP(C218,customers!$A$2:$A$1001,customers!$I$2:$I$1001,,0)</f>
        <v>Yes</v>
      </c>
    </row>
    <row r="219" spans="1:16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_xlfn.XLOOKUP(C219,customers!$A$1:$A$1001,customers!$C$1:$C$1001,,0)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>
        <f>INDEX(products!$A$1:$G$49,MATCH(orders!$D219,products!$A$1:$A$49,0),MATCH(orders!K$1,products!$A$1:$G$1,0))</f>
        <v>0.5</v>
      </c>
      <c r="L219">
        <f>INDEX(products!$A$1:$G$49,MATCH(orders!$D219,products!$A$1:$A$49,0),MATCH(orders!L$1,products!$A$1:$G$1,0))</f>
        <v>8.91</v>
      </c>
      <c r="M219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_xlfn.XLOOKUP(C219,customers!$A$2:$A$1001,customers!$I$2:$I$1001,,0)</f>
        <v>No</v>
      </c>
    </row>
    <row r="220" spans="1:16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_xlfn.XLOOKUP(C220,customers!$A$1:$A$1001,customers!$C$1:$C$1001,,0)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>
        <f>INDEX(products!$A$1:$G$49,MATCH(orders!$D220,products!$A$1:$A$49,0),MATCH(orders!K$1,products!$A$1:$G$1,0))</f>
        <v>1</v>
      </c>
      <c r="L220">
        <f>INDEX(products!$A$1:$G$49,MATCH(orders!$D220,products!$A$1:$A$49,0),MATCH(orders!L$1,products!$A$1:$G$1,0))</f>
        <v>11.25</v>
      </c>
      <c r="M220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_xlfn.XLOOKUP(C220,customers!$A$2:$A$1001,customers!$I$2:$I$1001,,0)</f>
        <v>Yes</v>
      </c>
    </row>
    <row r="221" spans="1:16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_xlfn.XLOOKUP(C221,customers!$A$1:$A$1001,customers!$C$1:$C$1001,,0)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>
        <f>INDEX(products!$A$1:$G$49,MATCH(orders!$D221,products!$A$1:$A$49,0),MATCH(orders!K$1,products!$A$1:$G$1,0))</f>
        <v>0.2</v>
      </c>
      <c r="L221">
        <f>INDEX(products!$A$1:$G$49,MATCH(orders!$D221,products!$A$1:$A$49,0),MATCH(orders!L$1,products!$A$1:$G$1,0))</f>
        <v>3.5849999999999995</v>
      </c>
      <c r="M221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_xlfn.XLOOKUP(C221,customers!$A$2:$A$1001,customers!$I$2:$I$1001,,0)</f>
        <v>No</v>
      </c>
    </row>
    <row r="222" spans="1:16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_xlfn.XLOOKUP(C222,customers!$A$1:$A$1001,customers!$C$1:$C$1001,,0)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>
        <f>INDEX(products!$A$1:$G$49,MATCH(orders!$D222,products!$A$1:$A$49,0),MATCH(orders!K$1,products!$A$1:$G$1,0))</f>
        <v>0.2</v>
      </c>
      <c r="L222">
        <f>INDEX(products!$A$1:$G$49,MATCH(orders!$D222,products!$A$1:$A$49,0),MATCH(orders!L$1,products!$A$1:$G$1,0))</f>
        <v>2.9849999999999999</v>
      </c>
      <c r="M222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_xlfn.XLOOKUP(C222,customers!$A$2:$A$1001,customers!$I$2:$I$1001,,0)</f>
        <v>No</v>
      </c>
    </row>
    <row r="223" spans="1:16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_xlfn.XLOOKUP(C223,customers!$A$1:$A$1001,customers!$C$1:$C$1001,,0)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>
        <f>INDEX(products!$A$1:$G$49,MATCH(orders!$D223,products!$A$1:$A$49,0),MATCH(orders!K$1,products!$A$1:$G$1,0))</f>
        <v>1</v>
      </c>
      <c r="L223">
        <f>INDEX(products!$A$1:$G$49,MATCH(orders!$D223,products!$A$1:$A$49,0),MATCH(orders!L$1,products!$A$1:$G$1,0))</f>
        <v>12.95</v>
      </c>
      <c r="M223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_xlfn.XLOOKUP(C223,customers!$A$2:$A$1001,customers!$I$2:$I$1001,,0)</f>
        <v>Yes</v>
      </c>
    </row>
    <row r="224" spans="1:16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_xlfn.XLOOKUP(C224,customers!$A$1:$A$1001,customers!$C$1:$C$1001,,0)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>
        <f>INDEX(products!$A$1:$G$49,MATCH(orders!$D224,products!$A$1:$A$49,0),MATCH(orders!K$1,products!$A$1:$G$1,0))</f>
        <v>0.5</v>
      </c>
      <c r="L224">
        <f>INDEX(products!$A$1:$G$49,MATCH(orders!$D224,products!$A$1:$A$49,0),MATCH(orders!L$1,products!$A$1:$G$1,0))</f>
        <v>7.77</v>
      </c>
      <c r="M224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_xlfn.XLOOKUP(C224,customers!$A$2:$A$1001,customers!$I$2:$I$1001,,0)</f>
        <v>No</v>
      </c>
    </row>
    <row r="225" spans="1:16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>
        <f>_xlfn.XLOOKUP(C225,customers!$A$1:$A$1001,customers!$C$1:$C$1001,,0)</f>
        <v>0</v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>
        <f>INDEX(products!$A$1:$G$49,MATCH(orders!$D225,products!$A$1:$A$49,0),MATCH(orders!K$1,products!$A$1:$G$1,0))</f>
        <v>1</v>
      </c>
      <c r="L225">
        <f>INDEX(products!$A$1:$G$49,MATCH(orders!$D225,products!$A$1:$A$49,0),MATCH(orders!L$1,products!$A$1:$G$1,0))</f>
        <v>14.85</v>
      </c>
      <c r="M22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_xlfn.XLOOKUP(C225,customers!$A$2:$A$1001,customers!$I$2:$I$1001,,0)</f>
        <v>Yes</v>
      </c>
    </row>
    <row r="226" spans="1:16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_xlfn.XLOOKUP(C226,customers!$A$1:$A$1001,customers!$C$1:$C$1001,,0)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>
        <f>INDEX(products!$A$1:$G$49,MATCH(orders!$D226,products!$A$1:$A$49,0),MATCH(orders!K$1,products!$A$1:$G$1,0))</f>
        <v>2.5</v>
      </c>
      <c r="L226">
        <f>INDEX(products!$A$1:$G$49,MATCH(orders!$D226,products!$A$1:$A$49,0),MATCH(orders!L$1,products!$A$1:$G$1,0))</f>
        <v>29.784999999999997</v>
      </c>
      <c r="M226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_xlfn.XLOOKUP(C226,customers!$A$2:$A$1001,customers!$I$2:$I$1001,,0)</f>
        <v>Yes</v>
      </c>
    </row>
    <row r="227" spans="1:16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_xlfn.XLOOKUP(C227,customers!$A$1:$A$1001,customers!$C$1:$C$1001,,0)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>
        <f>INDEX(products!$A$1:$G$49,MATCH(orders!$D227,products!$A$1:$A$49,0),MATCH(orders!K$1,products!$A$1:$G$1,0))</f>
        <v>0.2</v>
      </c>
      <c r="L227">
        <f>INDEX(products!$A$1:$G$49,MATCH(orders!$D227,products!$A$1:$A$49,0),MATCH(orders!L$1,products!$A$1:$G$1,0))</f>
        <v>3.5849999999999995</v>
      </c>
      <c r="M227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_xlfn.XLOOKUP(C227,customers!$A$2:$A$1001,customers!$I$2:$I$1001,,0)</f>
        <v>No</v>
      </c>
    </row>
    <row r="228" spans="1:16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_xlfn.XLOOKUP(C228,customers!$A$1:$A$1001,customers!$C$1:$C$1001,,0)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>
        <f>INDEX(products!$A$1:$G$49,MATCH(orders!$D228,products!$A$1:$A$49,0),MATCH(orders!K$1,products!$A$1:$G$1,0))</f>
        <v>2.5</v>
      </c>
      <c r="L228">
        <f>INDEX(products!$A$1:$G$49,MATCH(orders!$D228,products!$A$1:$A$49,0),MATCH(orders!L$1,products!$A$1:$G$1,0))</f>
        <v>25.874999999999996</v>
      </c>
      <c r="M228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_xlfn.XLOOKUP(C228,customers!$A$2:$A$1001,customers!$I$2:$I$1001,,0)</f>
        <v>No</v>
      </c>
    </row>
    <row r="229" spans="1:16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_xlfn.XLOOKUP(C229,customers!$A$1:$A$1001,customers!$C$1:$C$1001,,0)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>
        <f>INDEX(products!$A$1:$G$49,MATCH(orders!$D229,products!$A$1:$A$49,0),MATCH(orders!K$1,products!$A$1:$G$1,0))</f>
        <v>0.2</v>
      </c>
      <c r="L229">
        <f>INDEX(products!$A$1:$G$49,MATCH(orders!$D229,products!$A$1:$A$49,0),MATCH(orders!L$1,products!$A$1:$G$1,0))</f>
        <v>2.6849999999999996</v>
      </c>
      <c r="M229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_xlfn.XLOOKUP(C229,customers!$A$2:$A$1001,customers!$I$2:$I$1001,,0)</f>
        <v>Yes</v>
      </c>
    </row>
    <row r="230" spans="1:16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_xlfn.XLOOKUP(C230,customers!$A$1:$A$1001,customers!$C$1:$C$1001,,0)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>
        <f>INDEX(products!$A$1:$G$49,MATCH(orders!$D230,products!$A$1:$A$49,0),MATCH(orders!K$1,products!$A$1:$G$1,0))</f>
        <v>0.2</v>
      </c>
      <c r="L230">
        <f>INDEX(products!$A$1:$G$49,MATCH(orders!$D230,products!$A$1:$A$49,0),MATCH(orders!L$1,products!$A$1:$G$1,0))</f>
        <v>3.5849999999999995</v>
      </c>
      <c r="M230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_xlfn.XLOOKUP(C230,customers!$A$2:$A$1001,customers!$I$2:$I$1001,,0)</f>
        <v>No</v>
      </c>
    </row>
    <row r="231" spans="1:16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_xlfn.XLOOKUP(C231,customers!$A$1:$A$1001,customers!$C$1:$C$1001,,0)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>
        <f>INDEX(products!$A$1:$G$49,MATCH(orders!$D231,products!$A$1:$A$49,0),MATCH(orders!K$1,products!$A$1:$G$1,0))</f>
        <v>0.2</v>
      </c>
      <c r="L231">
        <f>INDEX(products!$A$1:$G$49,MATCH(orders!$D231,products!$A$1:$A$49,0),MATCH(orders!L$1,products!$A$1:$G$1,0))</f>
        <v>4.3650000000000002</v>
      </c>
      <c r="M231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_xlfn.XLOOKUP(C231,customers!$A$2:$A$1001,customers!$I$2:$I$1001,,0)</f>
        <v>No</v>
      </c>
    </row>
    <row r="232" spans="1:16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_xlfn.XLOOKUP(C232,customers!$A$1:$A$1001,customers!$C$1:$C$1001,,0)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>
        <f>INDEX(products!$A$1:$G$49,MATCH(orders!$D232,products!$A$1:$A$49,0),MATCH(orders!K$1,products!$A$1:$G$1,0))</f>
        <v>2.5</v>
      </c>
      <c r="L232">
        <f>INDEX(products!$A$1:$G$49,MATCH(orders!$D232,products!$A$1:$A$49,0),MATCH(orders!L$1,products!$A$1:$G$1,0))</f>
        <v>25.874999999999996</v>
      </c>
      <c r="M232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_xlfn.XLOOKUP(C232,customers!$A$2:$A$1001,customers!$I$2:$I$1001,,0)</f>
        <v>No</v>
      </c>
    </row>
    <row r="233" spans="1:16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>
        <f>_xlfn.XLOOKUP(C233,customers!$A$1:$A$1001,customers!$C$1:$C$1001,,0)</f>
        <v>0</v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>
        <f>INDEX(products!$A$1:$G$49,MATCH(orders!$D233,products!$A$1:$A$49,0),MATCH(orders!K$1,products!$A$1:$G$1,0))</f>
        <v>0.2</v>
      </c>
      <c r="L233">
        <f>INDEX(products!$A$1:$G$49,MATCH(orders!$D233,products!$A$1:$A$49,0),MATCH(orders!L$1,products!$A$1:$G$1,0))</f>
        <v>4.3650000000000002</v>
      </c>
      <c r="M233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_xlfn.XLOOKUP(C233,customers!$A$2:$A$1001,customers!$I$2:$I$1001,,0)</f>
        <v>Yes</v>
      </c>
    </row>
    <row r="234" spans="1:16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_xlfn.XLOOKUP(C234,customers!$A$1:$A$1001,customers!$C$1:$C$1001,,0)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>
        <f>INDEX(products!$A$1:$G$49,MATCH(orders!$D234,products!$A$1:$A$49,0),MATCH(orders!K$1,products!$A$1:$G$1,0))</f>
        <v>0.2</v>
      </c>
      <c r="L234">
        <f>INDEX(products!$A$1:$G$49,MATCH(orders!$D234,products!$A$1:$A$49,0),MATCH(orders!L$1,products!$A$1:$G$1,0))</f>
        <v>4.7549999999999999</v>
      </c>
      <c r="M234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_xlfn.XLOOKUP(C234,customers!$A$2:$A$1001,customers!$I$2:$I$1001,,0)</f>
        <v>No</v>
      </c>
    </row>
    <row r="235" spans="1:16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_xlfn.XLOOKUP(C235,customers!$A$1:$A$1001,customers!$C$1:$C$1001,,0)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>
        <f>INDEX(products!$A$1:$G$49,MATCH(orders!$D235,products!$A$1:$A$49,0),MATCH(orders!K$1,products!$A$1:$G$1,0))</f>
        <v>0.2</v>
      </c>
      <c r="L235">
        <f>INDEX(products!$A$1:$G$49,MATCH(orders!$D235,products!$A$1:$A$49,0),MATCH(orders!L$1,products!$A$1:$G$1,0))</f>
        <v>4.125</v>
      </c>
      <c r="M23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_xlfn.XLOOKUP(C235,customers!$A$2:$A$1001,customers!$I$2:$I$1001,,0)</f>
        <v>No</v>
      </c>
    </row>
    <row r="236" spans="1:16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_xlfn.XLOOKUP(C236,customers!$A$1:$A$1001,customers!$C$1:$C$1001,,0)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>
        <f>INDEX(products!$A$1:$G$49,MATCH(orders!$D236,products!$A$1:$A$49,0),MATCH(orders!K$1,products!$A$1:$G$1,0))</f>
        <v>2.5</v>
      </c>
      <c r="L236">
        <f>INDEX(products!$A$1:$G$49,MATCH(orders!$D236,products!$A$1:$A$49,0),MATCH(orders!L$1,products!$A$1:$G$1,0))</f>
        <v>36.454999999999998</v>
      </c>
      <c r="M236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_xlfn.XLOOKUP(C236,customers!$A$2:$A$1001,customers!$I$2:$I$1001,,0)</f>
        <v>No</v>
      </c>
    </row>
    <row r="237" spans="1:16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>
        <f>_xlfn.XLOOKUP(C237,customers!$A$1:$A$1001,customers!$C$1:$C$1001,,0)</f>
        <v>0</v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>
        <f>INDEX(products!$A$1:$G$49,MATCH(orders!$D237,products!$A$1:$A$49,0),MATCH(orders!K$1,products!$A$1:$G$1,0))</f>
        <v>2.5</v>
      </c>
      <c r="L237">
        <f>INDEX(products!$A$1:$G$49,MATCH(orders!$D237,products!$A$1:$A$49,0),MATCH(orders!L$1,products!$A$1:$G$1,0))</f>
        <v>36.454999999999998</v>
      </c>
      <c r="M237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_xlfn.XLOOKUP(C237,customers!$A$2:$A$1001,customers!$I$2:$I$1001,,0)</f>
        <v>No</v>
      </c>
    </row>
    <row r="238" spans="1:16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_xlfn.XLOOKUP(C238,customers!$A$1:$A$1001,customers!$C$1:$C$1001,,0)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>
        <f>INDEX(products!$A$1:$G$49,MATCH(orders!$D238,products!$A$1:$A$49,0),MATCH(orders!K$1,products!$A$1:$G$1,0))</f>
        <v>2.5</v>
      </c>
      <c r="L238">
        <f>INDEX(products!$A$1:$G$49,MATCH(orders!$D238,products!$A$1:$A$49,0),MATCH(orders!L$1,products!$A$1:$G$1,0))</f>
        <v>29.784999999999997</v>
      </c>
      <c r="M238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_xlfn.XLOOKUP(C238,customers!$A$2:$A$1001,customers!$I$2:$I$1001,,0)</f>
        <v>No</v>
      </c>
    </row>
    <row r="239" spans="1:16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>
        <f>_xlfn.XLOOKUP(C239,customers!$A$1:$A$1001,customers!$C$1:$C$1001,,0)</f>
        <v>0</v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>
        <f>INDEX(products!$A$1:$G$49,MATCH(orders!$D239,products!$A$1:$A$49,0),MATCH(orders!K$1,products!$A$1:$G$1,0))</f>
        <v>0.2</v>
      </c>
      <c r="L239">
        <f>INDEX(products!$A$1:$G$49,MATCH(orders!$D239,products!$A$1:$A$49,0),MATCH(orders!L$1,products!$A$1:$G$1,0))</f>
        <v>3.5849999999999995</v>
      </c>
      <c r="M239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_xlfn.XLOOKUP(C239,customers!$A$2:$A$1001,customers!$I$2:$I$1001,,0)</f>
        <v>Yes</v>
      </c>
    </row>
    <row r="240" spans="1:16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_xlfn.XLOOKUP(C240,customers!$A$1:$A$1001,customers!$C$1:$C$1001,,0)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>
        <f>INDEX(products!$A$1:$G$49,MATCH(orders!$D240,products!$A$1:$A$49,0),MATCH(orders!K$1,products!$A$1:$G$1,0))</f>
        <v>2.5</v>
      </c>
      <c r="L240">
        <f>INDEX(products!$A$1:$G$49,MATCH(orders!$D240,products!$A$1:$A$49,0),MATCH(orders!L$1,products!$A$1:$G$1,0))</f>
        <v>22.884999999999998</v>
      </c>
      <c r="M240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_xlfn.XLOOKUP(C240,customers!$A$2:$A$1001,customers!$I$2:$I$1001,,0)</f>
        <v>Yes</v>
      </c>
    </row>
    <row r="241" spans="1:16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_xlfn.XLOOKUP(C241,customers!$A$1:$A$1001,customers!$C$1:$C$1001,,0)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>
        <f>INDEX(products!$A$1:$G$49,MATCH(orders!$D241,products!$A$1:$A$49,0),MATCH(orders!K$1,products!$A$1:$G$1,0))</f>
        <v>1</v>
      </c>
      <c r="L241">
        <f>INDEX(products!$A$1:$G$49,MATCH(orders!$D241,products!$A$1:$A$49,0),MATCH(orders!L$1,products!$A$1:$G$1,0))</f>
        <v>14.85</v>
      </c>
      <c r="M241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_xlfn.XLOOKUP(C241,customers!$A$2:$A$1001,customers!$I$2:$I$1001,,0)</f>
        <v>No</v>
      </c>
    </row>
    <row r="242" spans="1:16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>
        <f>_xlfn.XLOOKUP(C242,customers!$A$1:$A$1001,customers!$C$1:$C$1001,,0)</f>
        <v>0</v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>
        <f>INDEX(products!$A$1:$G$49,MATCH(orders!$D242,products!$A$1:$A$49,0),MATCH(orders!K$1,products!$A$1:$G$1,0))</f>
        <v>2.5</v>
      </c>
      <c r="L242">
        <f>INDEX(products!$A$1:$G$49,MATCH(orders!$D242,products!$A$1:$A$49,0),MATCH(orders!L$1,products!$A$1:$G$1,0))</f>
        <v>25.874999999999996</v>
      </c>
      <c r="M242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_xlfn.XLOOKUP(C242,customers!$A$2:$A$1001,customers!$I$2:$I$1001,,0)</f>
        <v>Yes</v>
      </c>
    </row>
    <row r="243" spans="1:16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>
        <f>_xlfn.XLOOKUP(C243,customers!$A$1:$A$1001,customers!$C$1:$C$1001,,0)</f>
        <v>0</v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>
        <f>INDEX(products!$A$1:$G$49,MATCH(orders!$D243,products!$A$1:$A$49,0),MATCH(orders!K$1,products!$A$1:$G$1,0))</f>
        <v>2.5</v>
      </c>
      <c r="L243">
        <f>INDEX(products!$A$1:$G$49,MATCH(orders!$D243,products!$A$1:$A$49,0),MATCH(orders!L$1,products!$A$1:$G$1,0))</f>
        <v>22.884999999999998</v>
      </c>
      <c r="M243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_xlfn.XLOOKUP(C243,customers!$A$2:$A$1001,customers!$I$2:$I$1001,,0)</f>
        <v>No</v>
      </c>
    </row>
    <row r="244" spans="1:16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_xlfn.XLOOKUP(C244,customers!$A$1:$A$1001,customers!$C$1:$C$1001,,0)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>
        <f>INDEX(products!$A$1:$G$49,MATCH(orders!$D244,products!$A$1:$A$49,0),MATCH(orders!K$1,products!$A$1:$G$1,0))</f>
        <v>1</v>
      </c>
      <c r="L244">
        <f>INDEX(products!$A$1:$G$49,MATCH(orders!$D244,products!$A$1:$A$49,0),MATCH(orders!L$1,products!$A$1:$G$1,0))</f>
        <v>12.15</v>
      </c>
      <c r="M244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_xlfn.XLOOKUP(C244,customers!$A$2:$A$1001,customers!$I$2:$I$1001,,0)</f>
        <v>Yes</v>
      </c>
    </row>
    <row r="245" spans="1:16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_xlfn.XLOOKUP(C245,customers!$A$1:$A$1001,customers!$C$1:$C$1001,,0)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>
        <f>INDEX(products!$A$1:$G$49,MATCH(orders!$D245,products!$A$1:$A$49,0),MATCH(orders!K$1,products!$A$1:$G$1,0))</f>
        <v>0.5</v>
      </c>
      <c r="L245">
        <f>INDEX(products!$A$1:$G$49,MATCH(orders!$D245,products!$A$1:$A$49,0),MATCH(orders!L$1,products!$A$1:$G$1,0))</f>
        <v>7.29</v>
      </c>
      <c r="M24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_xlfn.XLOOKUP(C245,customers!$A$2:$A$1001,customers!$I$2:$I$1001,,0)</f>
        <v>Yes</v>
      </c>
    </row>
    <row r="246" spans="1:16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_xlfn.XLOOKUP(C246,customers!$A$1:$A$1001,customers!$C$1:$C$1001,,0)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>
        <f>INDEX(products!$A$1:$G$49,MATCH(orders!$D246,products!$A$1:$A$49,0),MATCH(orders!K$1,products!$A$1:$G$1,0))</f>
        <v>2.5</v>
      </c>
      <c r="L246">
        <f>INDEX(products!$A$1:$G$49,MATCH(orders!$D246,products!$A$1:$A$49,0),MATCH(orders!L$1,products!$A$1:$G$1,0))</f>
        <v>33.464999999999996</v>
      </c>
      <c r="M246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_xlfn.XLOOKUP(C246,customers!$A$2:$A$1001,customers!$I$2:$I$1001,,0)</f>
        <v>No</v>
      </c>
    </row>
    <row r="247" spans="1:16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_xlfn.XLOOKUP(C247,customers!$A$1:$A$1001,customers!$C$1:$C$1001,,0)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>
        <f>INDEX(products!$A$1:$G$49,MATCH(orders!$D247,products!$A$1:$A$49,0),MATCH(orders!K$1,products!$A$1:$G$1,0))</f>
        <v>0.2</v>
      </c>
      <c r="L247">
        <f>INDEX(products!$A$1:$G$49,MATCH(orders!$D247,products!$A$1:$A$49,0),MATCH(orders!L$1,products!$A$1:$G$1,0))</f>
        <v>4.7549999999999999</v>
      </c>
      <c r="M247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_xlfn.XLOOKUP(C247,customers!$A$2:$A$1001,customers!$I$2:$I$1001,,0)</f>
        <v>Yes</v>
      </c>
    </row>
    <row r="248" spans="1:16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_xlfn.XLOOKUP(C248,customers!$A$1:$A$1001,customers!$C$1:$C$1001,,0)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>
        <f>INDEX(products!$A$1:$G$49,MATCH(orders!$D248,products!$A$1:$A$49,0),MATCH(orders!K$1,products!$A$1:$G$1,0))</f>
        <v>1</v>
      </c>
      <c r="L248">
        <f>INDEX(products!$A$1:$G$49,MATCH(orders!$D248,products!$A$1:$A$49,0),MATCH(orders!L$1,products!$A$1:$G$1,0))</f>
        <v>12.95</v>
      </c>
      <c r="M248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_xlfn.XLOOKUP(C248,customers!$A$2:$A$1001,customers!$I$2:$I$1001,,0)</f>
        <v>No</v>
      </c>
    </row>
    <row r="249" spans="1:16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>
        <f>_xlfn.XLOOKUP(C249,customers!$A$1:$A$1001,customers!$C$1:$C$1001,,0)</f>
        <v>0</v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>
        <f>INDEX(products!$A$1:$G$49,MATCH(orders!$D249,products!$A$1:$A$49,0),MATCH(orders!K$1,products!$A$1:$G$1,0))</f>
        <v>0.2</v>
      </c>
      <c r="L249">
        <f>INDEX(products!$A$1:$G$49,MATCH(orders!$D249,products!$A$1:$A$49,0),MATCH(orders!L$1,products!$A$1:$G$1,0))</f>
        <v>3.5849999999999995</v>
      </c>
      <c r="M249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_xlfn.XLOOKUP(C249,customers!$A$2:$A$1001,customers!$I$2:$I$1001,,0)</f>
        <v>Yes</v>
      </c>
    </row>
    <row r="250" spans="1:16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_xlfn.XLOOKUP(C250,customers!$A$1:$A$1001,customers!$C$1:$C$1001,,0)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>
        <f>INDEX(products!$A$1:$G$49,MATCH(orders!$D250,products!$A$1:$A$49,0),MATCH(orders!K$1,products!$A$1:$G$1,0))</f>
        <v>1</v>
      </c>
      <c r="L250">
        <f>INDEX(products!$A$1:$G$49,MATCH(orders!$D250,products!$A$1:$A$49,0),MATCH(orders!L$1,products!$A$1:$G$1,0))</f>
        <v>9.9499999999999993</v>
      </c>
      <c r="M250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_xlfn.XLOOKUP(C250,customers!$A$2:$A$1001,customers!$I$2:$I$1001,,0)</f>
        <v>Yes</v>
      </c>
    </row>
    <row r="251" spans="1:16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_xlfn.XLOOKUP(C251,customers!$A$1:$A$1001,customers!$C$1:$C$1001,,0)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>
        <f>INDEX(products!$A$1:$G$49,MATCH(orders!$D251,products!$A$1:$A$49,0),MATCH(orders!K$1,products!$A$1:$G$1,0))</f>
        <v>1</v>
      </c>
      <c r="L251">
        <f>INDEX(products!$A$1:$G$49,MATCH(orders!$D251,products!$A$1:$A$49,0),MATCH(orders!L$1,products!$A$1:$G$1,0))</f>
        <v>15.85</v>
      </c>
      <c r="M251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_xlfn.XLOOKUP(C251,customers!$A$2:$A$1001,customers!$I$2:$I$1001,,0)</f>
        <v>Yes</v>
      </c>
    </row>
    <row r="252" spans="1:16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_xlfn.XLOOKUP(C252,customers!$A$1:$A$1001,customers!$C$1:$C$1001,,0)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>
        <f>INDEX(products!$A$1:$G$49,MATCH(orders!$D252,products!$A$1:$A$49,0),MATCH(orders!K$1,products!$A$1:$G$1,0))</f>
        <v>0.2</v>
      </c>
      <c r="L252">
        <f>INDEX(products!$A$1:$G$49,MATCH(orders!$D252,products!$A$1:$A$49,0),MATCH(orders!L$1,products!$A$1:$G$1,0))</f>
        <v>2.9849999999999999</v>
      </c>
      <c r="M252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_xlfn.XLOOKUP(C252,customers!$A$2:$A$1001,customers!$I$2:$I$1001,,0)</f>
        <v>Yes</v>
      </c>
    </row>
    <row r="253" spans="1:16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_xlfn.XLOOKUP(C253,customers!$A$1:$A$1001,customers!$C$1:$C$1001,,0)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>
        <f>INDEX(products!$A$1:$G$49,MATCH(orders!$D253,products!$A$1:$A$49,0),MATCH(orders!K$1,products!$A$1:$G$1,0))</f>
        <v>1</v>
      </c>
      <c r="L253">
        <f>INDEX(products!$A$1:$G$49,MATCH(orders!$D253,products!$A$1:$A$49,0),MATCH(orders!L$1,products!$A$1:$G$1,0))</f>
        <v>13.75</v>
      </c>
      <c r="M253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_xlfn.XLOOKUP(C253,customers!$A$2:$A$1001,customers!$I$2:$I$1001,,0)</f>
        <v>Yes</v>
      </c>
    </row>
    <row r="254" spans="1:16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>
        <f>_xlfn.XLOOKUP(C254,customers!$A$1:$A$1001,customers!$C$1:$C$1001,,0)</f>
        <v>0</v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>
        <f>INDEX(products!$A$1:$G$49,MATCH(orders!$D254,products!$A$1:$A$49,0),MATCH(orders!K$1,products!$A$1:$G$1,0))</f>
        <v>1</v>
      </c>
      <c r="L254">
        <f>INDEX(products!$A$1:$G$49,MATCH(orders!$D254,products!$A$1:$A$49,0),MATCH(orders!L$1,products!$A$1:$G$1,0))</f>
        <v>9.9499999999999993</v>
      </c>
      <c r="M254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_xlfn.XLOOKUP(C254,customers!$A$2:$A$1001,customers!$I$2:$I$1001,,0)</f>
        <v>No</v>
      </c>
    </row>
    <row r="255" spans="1:16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_xlfn.XLOOKUP(C255,customers!$A$1:$A$1001,customers!$C$1:$C$1001,,0)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>
        <f>INDEX(products!$A$1:$G$49,MATCH(orders!$D255,products!$A$1:$A$49,0),MATCH(orders!K$1,products!$A$1:$G$1,0))</f>
        <v>1</v>
      </c>
      <c r="L255">
        <f>INDEX(products!$A$1:$G$49,MATCH(orders!$D255,products!$A$1:$A$49,0),MATCH(orders!L$1,products!$A$1:$G$1,0))</f>
        <v>14.55</v>
      </c>
      <c r="M25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_xlfn.XLOOKUP(C255,customers!$A$2:$A$1001,customers!$I$2:$I$1001,,0)</f>
        <v>No</v>
      </c>
    </row>
    <row r="256" spans="1:16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_xlfn.XLOOKUP(C256,customers!$A$1:$A$1001,customers!$C$1:$C$1001,,0)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>
        <f>INDEX(products!$A$1:$G$49,MATCH(orders!$D256,products!$A$1:$A$49,0),MATCH(orders!K$1,products!$A$1:$G$1,0))</f>
        <v>0.5</v>
      </c>
      <c r="L256">
        <f>INDEX(products!$A$1:$G$49,MATCH(orders!$D256,products!$A$1:$A$49,0),MATCH(orders!L$1,products!$A$1:$G$1,0))</f>
        <v>7.169999999999999</v>
      </c>
      <c r="M256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_xlfn.XLOOKUP(C256,customers!$A$2:$A$1001,customers!$I$2:$I$1001,,0)</f>
        <v>No</v>
      </c>
    </row>
    <row r="257" spans="1:16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_xlfn.XLOOKUP(C257,customers!$A$1:$A$1001,customers!$C$1:$C$1001,,0)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>
        <f>INDEX(products!$A$1:$G$49,MATCH(orders!$D257,products!$A$1:$A$49,0),MATCH(orders!K$1,products!$A$1:$G$1,0))</f>
        <v>0.5</v>
      </c>
      <c r="L257">
        <f>INDEX(products!$A$1:$G$49,MATCH(orders!$D257,products!$A$1:$A$49,0),MATCH(orders!L$1,products!$A$1:$G$1,0))</f>
        <v>7.169999999999999</v>
      </c>
      <c r="M257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_xlfn.XLOOKUP(C257,customers!$A$2:$A$1001,customers!$I$2:$I$1001,,0)</f>
        <v>No</v>
      </c>
    </row>
    <row r="258" spans="1:16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_xlfn.XLOOKUP(C258,customers!$A$1:$A$1001,customers!$C$1:$C$1001,,0)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>
        <f>INDEX(products!$A$1:$G$49,MATCH(orders!$D258,products!$A$1:$A$49,0),MATCH(orders!K$1,products!$A$1:$G$1,0))</f>
        <v>0.5</v>
      </c>
      <c r="L258">
        <f>INDEX(products!$A$1:$G$49,MATCH(orders!$D258,products!$A$1:$A$49,0),MATCH(orders!L$1,products!$A$1:$G$1,0))</f>
        <v>8.73</v>
      </c>
      <c r="M258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_xlfn.XLOOKUP(C258,customers!$A$2:$A$1001,customers!$I$2:$I$1001,,0)</f>
        <v>Yes</v>
      </c>
    </row>
    <row r="259" spans="1:16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_xlfn.XLOOKUP(C259,customers!$A$1:$A$1001,customers!$C$1:$C$1001,,0)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>
        <f>INDEX(products!$A$1:$G$49,MATCH(orders!$D259,products!$A$1:$A$49,0),MATCH(orders!K$1,products!$A$1:$G$1,0))</f>
        <v>2.5</v>
      </c>
      <c r="L259">
        <f>INDEX(products!$A$1:$G$49,MATCH(orders!$D259,products!$A$1:$A$49,0),MATCH(orders!L$1,products!$A$1:$G$1,0))</f>
        <v>27.945</v>
      </c>
      <c r="M259">
        <f t="shared" ref="M259:M322" si="12">L259*E259</f>
        <v>27.945</v>
      </c>
      <c r="N259" t="str">
        <f t="shared" ref="N259:N322" si="13">IF(I259="Rob","Robusta",IF(I259="Exc","Excelsa",IF(I259="Lib","Liberica",IF(I259="Ara","Arabica"))))</f>
        <v>Excelsa</v>
      </c>
      <c r="O259" t="str">
        <f t="shared" si="11"/>
        <v>Dark</v>
      </c>
      <c r="P259" t="str">
        <f>_xlfn.XLOOKUP(C259,customers!$A$2:$A$1001,customers!$I$2:$I$1001,,0)</f>
        <v>Yes</v>
      </c>
    </row>
    <row r="260" spans="1:16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_xlfn.XLOOKUP(C260,customers!$A$1:$A$1001,customers!$C$1:$C$1001,,0)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>
        <f>INDEX(products!$A$1:$G$49,MATCH(orders!$D260,products!$A$1:$A$49,0),MATCH(orders!K$1,products!$A$1:$G$1,0))</f>
        <v>2.5</v>
      </c>
      <c r="L260">
        <f>INDEX(products!$A$1:$G$49,MATCH(orders!$D260,products!$A$1:$A$49,0),MATCH(orders!L$1,products!$A$1:$G$1,0))</f>
        <v>27.945</v>
      </c>
      <c r="M260">
        <f t="shared" si="12"/>
        <v>139.72499999999999</v>
      </c>
      <c r="N260" t="str">
        <f t="shared" si="13"/>
        <v>Excelsa</v>
      </c>
      <c r="O260" t="str">
        <f t="shared" si="11"/>
        <v>Dark</v>
      </c>
      <c r="P260" t="str">
        <f>_xlfn.XLOOKUP(C260,customers!$A$2:$A$1001,customers!$I$2:$I$1001,,0)</f>
        <v>No</v>
      </c>
    </row>
    <row r="261" spans="1:16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_xlfn.XLOOKUP(C261,customers!$A$1:$A$1001,customers!$C$1:$C$1001,,0)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>
        <f>INDEX(products!$A$1:$G$49,MATCH(orders!$D261,products!$A$1:$A$49,0),MATCH(orders!K$1,products!$A$1:$G$1,0))</f>
        <v>0.2</v>
      </c>
      <c r="L261">
        <f>INDEX(products!$A$1:$G$49,MATCH(orders!$D261,products!$A$1:$A$49,0),MATCH(orders!L$1,products!$A$1:$G$1,0))</f>
        <v>2.9849999999999999</v>
      </c>
      <c r="M261">
        <f t="shared" si="12"/>
        <v>5.97</v>
      </c>
      <c r="N261" t="str">
        <f t="shared" si="13"/>
        <v>Robusta</v>
      </c>
      <c r="O261" t="str">
        <f t="shared" ref="O261:O324" si="14">IF(J261="L","Light",IF(J261="M","Medium",IF(J261="D","Dark")))</f>
        <v>Medium</v>
      </c>
      <c r="P261" t="str">
        <f>_xlfn.XLOOKUP(C261,customers!$A$2:$A$1001,customers!$I$2:$I$1001,,0)</f>
        <v>No</v>
      </c>
    </row>
    <row r="262" spans="1:16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_xlfn.XLOOKUP(C262,customers!$A$1:$A$1001,customers!$C$1:$C$1001,,0)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>
        <f>INDEX(products!$A$1:$G$49,MATCH(orders!$D262,products!$A$1:$A$49,0),MATCH(orders!K$1,products!$A$1:$G$1,0))</f>
        <v>2.5</v>
      </c>
      <c r="L262">
        <f>INDEX(products!$A$1:$G$49,MATCH(orders!$D262,products!$A$1:$A$49,0),MATCH(orders!L$1,products!$A$1:$G$1,0))</f>
        <v>27.484999999999996</v>
      </c>
      <c r="M262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_xlfn.XLOOKUP(C262,customers!$A$2:$A$1001,customers!$I$2:$I$1001,,0)</f>
        <v>Yes</v>
      </c>
    </row>
    <row r="263" spans="1:16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_xlfn.XLOOKUP(C263,customers!$A$1:$A$1001,customers!$C$1:$C$1001,,0)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>
        <f>INDEX(products!$A$1:$G$49,MATCH(orders!$D263,products!$A$1:$A$49,0),MATCH(orders!K$1,products!$A$1:$G$1,0))</f>
        <v>1</v>
      </c>
      <c r="L263">
        <f>INDEX(products!$A$1:$G$49,MATCH(orders!$D263,products!$A$1:$A$49,0),MATCH(orders!L$1,products!$A$1:$G$1,0))</f>
        <v>11.95</v>
      </c>
      <c r="M263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_xlfn.XLOOKUP(C263,customers!$A$2:$A$1001,customers!$I$2:$I$1001,,0)</f>
        <v>Yes</v>
      </c>
    </row>
    <row r="264" spans="1:16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_xlfn.XLOOKUP(C264,customers!$A$1:$A$1001,customers!$C$1:$C$1001,,0)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>
        <f>INDEX(products!$A$1:$G$49,MATCH(orders!$D264,products!$A$1:$A$49,0),MATCH(orders!K$1,products!$A$1:$G$1,0))</f>
        <v>1</v>
      </c>
      <c r="L264">
        <f>INDEX(products!$A$1:$G$49,MATCH(orders!$D264,products!$A$1:$A$49,0),MATCH(orders!L$1,products!$A$1:$G$1,0))</f>
        <v>13.75</v>
      </c>
      <c r="M264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_xlfn.XLOOKUP(C264,customers!$A$2:$A$1001,customers!$I$2:$I$1001,,0)</f>
        <v>No</v>
      </c>
    </row>
    <row r="265" spans="1:16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>
        <f>_xlfn.XLOOKUP(C265,customers!$A$1:$A$1001,customers!$C$1:$C$1001,,0)</f>
        <v>0</v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>
        <f>INDEX(products!$A$1:$G$49,MATCH(orders!$D265,products!$A$1:$A$49,0),MATCH(orders!K$1,products!$A$1:$G$1,0))</f>
        <v>2.5</v>
      </c>
      <c r="L265">
        <f>INDEX(products!$A$1:$G$49,MATCH(orders!$D265,products!$A$1:$A$49,0),MATCH(orders!L$1,products!$A$1:$G$1,0))</f>
        <v>33.464999999999996</v>
      </c>
      <c r="M26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_xlfn.XLOOKUP(C265,customers!$A$2:$A$1001,customers!$I$2:$I$1001,,0)</f>
        <v>No</v>
      </c>
    </row>
    <row r="266" spans="1:16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>
        <f>_xlfn.XLOOKUP(C266,customers!$A$1:$A$1001,customers!$C$1:$C$1001,,0)</f>
        <v>0</v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>
        <f>INDEX(products!$A$1:$G$49,MATCH(orders!$D266,products!$A$1:$A$49,0),MATCH(orders!K$1,products!$A$1:$G$1,0))</f>
        <v>1</v>
      </c>
      <c r="L266">
        <f>INDEX(products!$A$1:$G$49,MATCH(orders!$D266,products!$A$1:$A$49,0),MATCH(orders!L$1,products!$A$1:$G$1,0))</f>
        <v>11.95</v>
      </c>
      <c r="M266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_xlfn.XLOOKUP(C266,customers!$A$2:$A$1001,customers!$I$2:$I$1001,,0)</f>
        <v>Yes</v>
      </c>
    </row>
    <row r="267" spans="1:16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_xlfn.XLOOKUP(C267,customers!$A$1:$A$1001,customers!$C$1:$C$1001,,0)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>
        <f>INDEX(products!$A$1:$G$49,MATCH(orders!$D267,products!$A$1:$A$49,0),MATCH(orders!K$1,products!$A$1:$G$1,0))</f>
        <v>0.5</v>
      </c>
      <c r="L267">
        <f>INDEX(products!$A$1:$G$49,MATCH(orders!$D267,products!$A$1:$A$49,0),MATCH(orders!L$1,products!$A$1:$G$1,0))</f>
        <v>5.97</v>
      </c>
      <c r="M267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_xlfn.XLOOKUP(C267,customers!$A$2:$A$1001,customers!$I$2:$I$1001,,0)</f>
        <v>Yes</v>
      </c>
    </row>
    <row r="268" spans="1:16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_xlfn.XLOOKUP(C268,customers!$A$1:$A$1001,customers!$C$1:$C$1001,,0)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>
        <f>INDEX(products!$A$1:$G$49,MATCH(orders!$D268,products!$A$1:$A$49,0),MATCH(orders!K$1,products!$A$1:$G$1,0))</f>
        <v>1</v>
      </c>
      <c r="L268">
        <f>INDEX(products!$A$1:$G$49,MATCH(orders!$D268,products!$A$1:$A$49,0),MATCH(orders!L$1,products!$A$1:$G$1,0))</f>
        <v>12.15</v>
      </c>
      <c r="M268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_xlfn.XLOOKUP(C268,customers!$A$2:$A$1001,customers!$I$2:$I$1001,,0)</f>
        <v>No</v>
      </c>
    </row>
    <row r="269" spans="1:16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_xlfn.XLOOKUP(C269,customers!$A$1:$A$1001,customers!$C$1:$C$1001,,0)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>
        <f>INDEX(products!$A$1:$G$49,MATCH(orders!$D269,products!$A$1:$A$49,0),MATCH(orders!K$1,products!$A$1:$G$1,0))</f>
        <v>0.2</v>
      </c>
      <c r="L269">
        <f>INDEX(products!$A$1:$G$49,MATCH(orders!$D269,products!$A$1:$A$49,0),MATCH(orders!L$1,products!$A$1:$G$1,0))</f>
        <v>3.645</v>
      </c>
      <c r="M269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_xlfn.XLOOKUP(C269,customers!$A$2:$A$1001,customers!$I$2:$I$1001,,0)</f>
        <v>Yes</v>
      </c>
    </row>
    <row r="270" spans="1:16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_xlfn.XLOOKUP(C270,customers!$A$1:$A$1001,customers!$C$1:$C$1001,,0)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>
        <f>INDEX(products!$A$1:$G$49,MATCH(orders!$D270,products!$A$1:$A$49,0),MATCH(orders!K$1,products!$A$1:$G$1,0))</f>
        <v>1</v>
      </c>
      <c r="L270">
        <f>INDEX(products!$A$1:$G$49,MATCH(orders!$D270,products!$A$1:$A$49,0),MATCH(orders!L$1,products!$A$1:$G$1,0))</f>
        <v>9.9499999999999993</v>
      </c>
      <c r="M270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_xlfn.XLOOKUP(C270,customers!$A$2:$A$1001,customers!$I$2:$I$1001,,0)</f>
        <v>Yes</v>
      </c>
    </row>
    <row r="271" spans="1:16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_xlfn.XLOOKUP(C271,customers!$A$1:$A$1001,customers!$C$1:$C$1001,,0)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>
        <f>INDEX(products!$A$1:$G$49,MATCH(orders!$D271,products!$A$1:$A$49,0),MATCH(orders!K$1,products!$A$1:$G$1,0))</f>
        <v>0.2</v>
      </c>
      <c r="L271">
        <f>INDEX(products!$A$1:$G$49,MATCH(orders!$D271,products!$A$1:$A$49,0),MATCH(orders!L$1,products!$A$1:$G$1,0))</f>
        <v>2.9849999999999999</v>
      </c>
      <c r="M271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_xlfn.XLOOKUP(C271,customers!$A$2:$A$1001,customers!$I$2:$I$1001,,0)</f>
        <v>No</v>
      </c>
    </row>
    <row r="272" spans="1:16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>
        <f>_xlfn.XLOOKUP(C272,customers!$A$1:$A$1001,customers!$C$1:$C$1001,,0)</f>
        <v>0</v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>
        <f>INDEX(products!$A$1:$G$49,MATCH(orders!$D272,products!$A$1:$A$49,0),MATCH(orders!K$1,products!$A$1:$G$1,0))</f>
        <v>0.5</v>
      </c>
      <c r="L272">
        <f>INDEX(products!$A$1:$G$49,MATCH(orders!$D272,products!$A$1:$A$49,0),MATCH(orders!L$1,products!$A$1:$G$1,0))</f>
        <v>7.29</v>
      </c>
      <c r="M272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_xlfn.XLOOKUP(C272,customers!$A$2:$A$1001,customers!$I$2:$I$1001,,0)</f>
        <v>Yes</v>
      </c>
    </row>
    <row r="273" spans="1:16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_xlfn.XLOOKUP(C273,customers!$A$1:$A$1001,customers!$C$1:$C$1001,,0)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>
        <f>INDEX(products!$A$1:$G$49,MATCH(orders!$D273,products!$A$1:$A$49,0),MATCH(orders!K$1,products!$A$1:$G$1,0))</f>
        <v>0.2</v>
      </c>
      <c r="L273">
        <f>INDEX(products!$A$1:$G$49,MATCH(orders!$D273,products!$A$1:$A$49,0),MATCH(orders!L$1,products!$A$1:$G$1,0))</f>
        <v>2.9849999999999999</v>
      </c>
      <c r="M273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_xlfn.XLOOKUP(C273,customers!$A$2:$A$1001,customers!$I$2:$I$1001,,0)</f>
        <v>Yes</v>
      </c>
    </row>
    <row r="274" spans="1:16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_xlfn.XLOOKUP(C274,customers!$A$1:$A$1001,customers!$C$1:$C$1001,,0)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>
        <f>INDEX(products!$A$1:$G$49,MATCH(orders!$D274,products!$A$1:$A$49,0),MATCH(orders!K$1,products!$A$1:$G$1,0))</f>
        <v>1</v>
      </c>
      <c r="L274">
        <f>INDEX(products!$A$1:$G$49,MATCH(orders!$D274,products!$A$1:$A$49,0),MATCH(orders!L$1,products!$A$1:$G$1,0))</f>
        <v>11.95</v>
      </c>
      <c r="M274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_xlfn.XLOOKUP(C274,customers!$A$2:$A$1001,customers!$I$2:$I$1001,,0)</f>
        <v>Yes</v>
      </c>
    </row>
    <row r="275" spans="1:16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_xlfn.XLOOKUP(C275,customers!$A$1:$A$1001,customers!$C$1:$C$1001,,0)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>
        <f>INDEX(products!$A$1:$G$49,MATCH(orders!$D275,products!$A$1:$A$49,0),MATCH(orders!K$1,products!$A$1:$G$1,0))</f>
        <v>0.2</v>
      </c>
      <c r="L275">
        <f>INDEX(products!$A$1:$G$49,MATCH(orders!$D275,products!$A$1:$A$49,0),MATCH(orders!L$1,products!$A$1:$G$1,0))</f>
        <v>3.8849999999999998</v>
      </c>
      <c r="M27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_xlfn.XLOOKUP(C275,customers!$A$2:$A$1001,customers!$I$2:$I$1001,,0)</f>
        <v>No</v>
      </c>
    </row>
    <row r="276" spans="1:16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_xlfn.XLOOKUP(C276,customers!$A$1:$A$1001,customers!$C$1:$C$1001,,0)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>
        <f>INDEX(products!$A$1:$G$49,MATCH(orders!$D276,products!$A$1:$A$49,0),MATCH(orders!K$1,products!$A$1:$G$1,0))</f>
        <v>2.5</v>
      </c>
      <c r="L276">
        <f>INDEX(products!$A$1:$G$49,MATCH(orders!$D276,products!$A$1:$A$49,0),MATCH(orders!L$1,products!$A$1:$G$1,0))</f>
        <v>25.874999999999996</v>
      </c>
      <c r="M276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_xlfn.XLOOKUP(C276,customers!$A$2:$A$1001,customers!$I$2:$I$1001,,0)</f>
        <v>No</v>
      </c>
    </row>
    <row r="277" spans="1:16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_xlfn.XLOOKUP(C277,customers!$A$1:$A$1001,customers!$C$1:$C$1001,,0)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>
        <f>INDEX(products!$A$1:$G$49,MATCH(orders!$D277,products!$A$1:$A$49,0),MATCH(orders!K$1,products!$A$1:$G$1,0))</f>
        <v>2.5</v>
      </c>
      <c r="L277">
        <f>INDEX(products!$A$1:$G$49,MATCH(orders!$D277,products!$A$1:$A$49,0),MATCH(orders!L$1,products!$A$1:$G$1,0))</f>
        <v>34.154999999999994</v>
      </c>
      <c r="M277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_xlfn.XLOOKUP(C277,customers!$A$2:$A$1001,customers!$I$2:$I$1001,,0)</f>
        <v>No</v>
      </c>
    </row>
    <row r="278" spans="1:16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_xlfn.XLOOKUP(C278,customers!$A$1:$A$1001,customers!$C$1:$C$1001,,0)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>
        <f>INDEX(products!$A$1:$G$49,MATCH(orders!$D278,products!$A$1:$A$49,0),MATCH(orders!K$1,products!$A$1:$G$1,0))</f>
        <v>2.5</v>
      </c>
      <c r="L278">
        <f>INDEX(products!$A$1:$G$49,MATCH(orders!$D278,products!$A$1:$A$49,0),MATCH(orders!L$1,products!$A$1:$G$1,0))</f>
        <v>27.484999999999996</v>
      </c>
      <c r="M278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_xlfn.XLOOKUP(C278,customers!$A$2:$A$1001,customers!$I$2:$I$1001,,0)</f>
        <v>Yes</v>
      </c>
    </row>
    <row r="279" spans="1:16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_xlfn.XLOOKUP(C279,customers!$A$1:$A$1001,customers!$C$1:$C$1001,,0)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>
        <f>INDEX(products!$A$1:$G$49,MATCH(orders!$D279,products!$A$1:$A$49,0),MATCH(orders!K$1,products!$A$1:$G$1,0))</f>
        <v>1</v>
      </c>
      <c r="L279">
        <f>INDEX(products!$A$1:$G$49,MATCH(orders!$D279,products!$A$1:$A$49,0),MATCH(orders!L$1,products!$A$1:$G$1,0))</f>
        <v>14.85</v>
      </c>
      <c r="M279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_xlfn.XLOOKUP(C279,customers!$A$2:$A$1001,customers!$I$2:$I$1001,,0)</f>
        <v>No</v>
      </c>
    </row>
    <row r="280" spans="1:16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_xlfn.XLOOKUP(C280,customers!$A$1:$A$1001,customers!$C$1:$C$1001,,0)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>
        <f>INDEX(products!$A$1:$G$49,MATCH(orders!$D280,products!$A$1:$A$49,0),MATCH(orders!K$1,products!$A$1:$G$1,0))</f>
        <v>0.2</v>
      </c>
      <c r="L280">
        <f>INDEX(products!$A$1:$G$49,MATCH(orders!$D280,products!$A$1:$A$49,0),MATCH(orders!L$1,products!$A$1:$G$1,0))</f>
        <v>3.8849999999999998</v>
      </c>
      <c r="M280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_xlfn.XLOOKUP(C280,customers!$A$2:$A$1001,customers!$I$2:$I$1001,,0)</f>
        <v>Yes</v>
      </c>
    </row>
    <row r="281" spans="1:16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_xlfn.XLOOKUP(C281,customers!$A$1:$A$1001,customers!$C$1:$C$1001,,0)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>
        <f>INDEX(products!$A$1:$G$49,MATCH(orders!$D281,products!$A$1:$A$49,0),MATCH(orders!K$1,products!$A$1:$G$1,0))</f>
        <v>2.5</v>
      </c>
      <c r="L281">
        <f>INDEX(products!$A$1:$G$49,MATCH(orders!$D281,products!$A$1:$A$49,0),MATCH(orders!L$1,products!$A$1:$G$1,0))</f>
        <v>33.464999999999996</v>
      </c>
      <c r="M281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_xlfn.XLOOKUP(C281,customers!$A$2:$A$1001,customers!$I$2:$I$1001,,0)</f>
        <v>Yes</v>
      </c>
    </row>
    <row r="282" spans="1:16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>
        <f>_xlfn.XLOOKUP(C282,customers!$A$1:$A$1001,customers!$C$1:$C$1001,,0)</f>
        <v>0</v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>
        <f>INDEX(products!$A$1:$G$49,MATCH(orders!$D282,products!$A$1:$A$49,0),MATCH(orders!K$1,products!$A$1:$G$1,0))</f>
        <v>0.5</v>
      </c>
      <c r="L282">
        <f>INDEX(products!$A$1:$G$49,MATCH(orders!$D282,products!$A$1:$A$49,0),MATCH(orders!L$1,products!$A$1:$G$1,0))</f>
        <v>8.25</v>
      </c>
      <c r="M282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_xlfn.XLOOKUP(C282,customers!$A$2:$A$1001,customers!$I$2:$I$1001,,0)</f>
        <v>Yes</v>
      </c>
    </row>
    <row r="283" spans="1:16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_xlfn.XLOOKUP(C283,customers!$A$1:$A$1001,customers!$C$1:$C$1001,,0)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>
        <f>INDEX(products!$A$1:$G$49,MATCH(orders!$D283,products!$A$1:$A$49,0),MATCH(orders!K$1,products!$A$1:$G$1,0))</f>
        <v>1</v>
      </c>
      <c r="L283">
        <f>INDEX(products!$A$1:$G$49,MATCH(orders!$D283,products!$A$1:$A$49,0),MATCH(orders!L$1,products!$A$1:$G$1,0))</f>
        <v>14.85</v>
      </c>
      <c r="M283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_xlfn.XLOOKUP(C283,customers!$A$2:$A$1001,customers!$I$2:$I$1001,,0)</f>
        <v>Yes</v>
      </c>
    </row>
    <row r="284" spans="1:16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_xlfn.XLOOKUP(C284,customers!$A$1:$A$1001,customers!$C$1:$C$1001,,0)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>
        <f>INDEX(products!$A$1:$G$49,MATCH(orders!$D284,products!$A$1:$A$49,0),MATCH(orders!K$1,products!$A$1:$G$1,0))</f>
        <v>0.5</v>
      </c>
      <c r="L284">
        <f>INDEX(products!$A$1:$G$49,MATCH(orders!$D284,products!$A$1:$A$49,0),MATCH(orders!L$1,products!$A$1:$G$1,0))</f>
        <v>7.77</v>
      </c>
      <c r="M284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_xlfn.XLOOKUP(C284,customers!$A$2:$A$1001,customers!$I$2:$I$1001,,0)</f>
        <v>No</v>
      </c>
    </row>
    <row r="285" spans="1:16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_xlfn.XLOOKUP(C285,customers!$A$1:$A$1001,customers!$C$1:$C$1001,,0)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>
        <f>INDEX(products!$A$1:$G$49,MATCH(orders!$D285,products!$A$1:$A$49,0),MATCH(orders!K$1,products!$A$1:$G$1,0))</f>
        <v>0.5</v>
      </c>
      <c r="L285">
        <f>INDEX(products!$A$1:$G$49,MATCH(orders!$D285,products!$A$1:$A$49,0),MATCH(orders!L$1,products!$A$1:$G$1,0))</f>
        <v>5.3699999999999992</v>
      </c>
      <c r="M28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_xlfn.XLOOKUP(C285,customers!$A$2:$A$1001,customers!$I$2:$I$1001,,0)</f>
        <v>Yes</v>
      </c>
    </row>
    <row r="286" spans="1:16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>
        <f>_xlfn.XLOOKUP(C286,customers!$A$1:$A$1001,customers!$C$1:$C$1001,,0)</f>
        <v>0</v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>
        <f>INDEX(products!$A$1:$G$49,MATCH(orders!$D286,products!$A$1:$A$49,0),MATCH(orders!K$1,products!$A$1:$G$1,0))</f>
        <v>2.5</v>
      </c>
      <c r="L286">
        <f>INDEX(products!$A$1:$G$49,MATCH(orders!$D286,products!$A$1:$A$49,0),MATCH(orders!L$1,products!$A$1:$G$1,0))</f>
        <v>31.624999999999996</v>
      </c>
      <c r="M286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_xlfn.XLOOKUP(C286,customers!$A$2:$A$1001,customers!$I$2:$I$1001,,0)</f>
        <v>No</v>
      </c>
    </row>
    <row r="287" spans="1:16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>
        <f>_xlfn.XLOOKUP(C287,customers!$A$1:$A$1001,customers!$C$1:$C$1001,,0)</f>
        <v>0</v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>
        <f>INDEX(products!$A$1:$G$49,MATCH(orders!$D287,products!$A$1:$A$49,0),MATCH(orders!K$1,products!$A$1:$G$1,0))</f>
        <v>2.5</v>
      </c>
      <c r="L287">
        <f>INDEX(products!$A$1:$G$49,MATCH(orders!$D287,products!$A$1:$A$49,0),MATCH(orders!L$1,products!$A$1:$G$1,0))</f>
        <v>36.454999999999998</v>
      </c>
      <c r="M287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_xlfn.XLOOKUP(C287,customers!$A$2:$A$1001,customers!$I$2:$I$1001,,0)</f>
        <v>No</v>
      </c>
    </row>
    <row r="288" spans="1:16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_xlfn.XLOOKUP(C288,customers!$A$1:$A$1001,customers!$C$1:$C$1001,,0)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>
        <f>INDEX(products!$A$1:$G$49,MATCH(orders!$D288,products!$A$1:$A$49,0),MATCH(orders!K$1,products!$A$1:$G$1,0))</f>
        <v>0.2</v>
      </c>
      <c r="L288">
        <f>INDEX(products!$A$1:$G$49,MATCH(orders!$D288,products!$A$1:$A$49,0),MATCH(orders!L$1,products!$A$1:$G$1,0))</f>
        <v>3.375</v>
      </c>
      <c r="M288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_xlfn.XLOOKUP(C288,customers!$A$2:$A$1001,customers!$I$2:$I$1001,,0)</f>
        <v>Yes</v>
      </c>
    </row>
    <row r="289" spans="1:16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_xlfn.XLOOKUP(C289,customers!$A$1:$A$1001,customers!$C$1:$C$1001,,0)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>
        <f>INDEX(products!$A$1:$G$49,MATCH(orders!$D289,products!$A$1:$A$49,0),MATCH(orders!K$1,products!$A$1:$G$1,0))</f>
        <v>0.2</v>
      </c>
      <c r="L289">
        <f>INDEX(products!$A$1:$G$49,MATCH(orders!$D289,products!$A$1:$A$49,0),MATCH(orders!L$1,products!$A$1:$G$1,0))</f>
        <v>3.5849999999999995</v>
      </c>
      <c r="M289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_xlfn.XLOOKUP(C289,customers!$A$2:$A$1001,customers!$I$2:$I$1001,,0)</f>
        <v>No</v>
      </c>
    </row>
    <row r="290" spans="1:16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>
        <f>_xlfn.XLOOKUP(C290,customers!$A$1:$A$1001,customers!$C$1:$C$1001,,0)</f>
        <v>0</v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>
        <f>INDEX(products!$A$1:$G$49,MATCH(orders!$D290,products!$A$1:$A$49,0),MATCH(orders!K$1,products!$A$1:$G$1,0))</f>
        <v>0.5</v>
      </c>
      <c r="L290">
        <f>INDEX(products!$A$1:$G$49,MATCH(orders!$D290,products!$A$1:$A$49,0),MATCH(orders!L$1,products!$A$1:$G$1,0))</f>
        <v>8.25</v>
      </c>
      <c r="M290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_xlfn.XLOOKUP(C290,customers!$A$2:$A$1001,customers!$I$2:$I$1001,,0)</f>
        <v>Yes</v>
      </c>
    </row>
    <row r="291" spans="1:16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>
        <f>_xlfn.XLOOKUP(C291,customers!$A$1:$A$1001,customers!$C$1:$C$1001,,0)</f>
        <v>0</v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>
        <f>INDEX(products!$A$1:$G$49,MATCH(orders!$D291,products!$A$1:$A$49,0),MATCH(orders!K$1,products!$A$1:$G$1,0))</f>
        <v>0.2</v>
      </c>
      <c r="L291">
        <f>INDEX(products!$A$1:$G$49,MATCH(orders!$D291,products!$A$1:$A$49,0),MATCH(orders!L$1,products!$A$1:$G$1,0))</f>
        <v>2.6849999999999996</v>
      </c>
      <c r="M291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_xlfn.XLOOKUP(C291,customers!$A$2:$A$1001,customers!$I$2:$I$1001,,0)</f>
        <v>Yes</v>
      </c>
    </row>
    <row r="292" spans="1:16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_xlfn.XLOOKUP(C292,customers!$A$1:$A$1001,customers!$C$1:$C$1001,,0)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>
        <f>INDEX(products!$A$1:$G$49,MATCH(orders!$D292,products!$A$1:$A$49,0),MATCH(orders!K$1,products!$A$1:$G$1,0))</f>
        <v>1</v>
      </c>
      <c r="L292">
        <f>INDEX(products!$A$1:$G$49,MATCH(orders!$D292,products!$A$1:$A$49,0),MATCH(orders!L$1,products!$A$1:$G$1,0))</f>
        <v>9.9499999999999993</v>
      </c>
      <c r="M292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_xlfn.XLOOKUP(C292,customers!$A$2:$A$1001,customers!$I$2:$I$1001,,0)</f>
        <v>No</v>
      </c>
    </row>
    <row r="293" spans="1:16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>
        <f>_xlfn.XLOOKUP(C293,customers!$A$1:$A$1001,customers!$C$1:$C$1001,,0)</f>
        <v>0</v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>
        <f>INDEX(products!$A$1:$G$49,MATCH(orders!$D293,products!$A$1:$A$49,0),MATCH(orders!K$1,products!$A$1:$G$1,0))</f>
        <v>0.5</v>
      </c>
      <c r="L293">
        <f>INDEX(products!$A$1:$G$49,MATCH(orders!$D293,products!$A$1:$A$49,0),MATCH(orders!L$1,products!$A$1:$G$1,0))</f>
        <v>8.25</v>
      </c>
      <c r="M293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_xlfn.XLOOKUP(C293,customers!$A$2:$A$1001,customers!$I$2:$I$1001,,0)</f>
        <v>No</v>
      </c>
    </row>
    <row r="294" spans="1:16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_xlfn.XLOOKUP(C294,customers!$A$1:$A$1001,customers!$C$1:$C$1001,,0)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>
        <f>INDEX(products!$A$1:$G$49,MATCH(orders!$D294,products!$A$1:$A$49,0),MATCH(orders!K$1,products!$A$1:$G$1,0))</f>
        <v>0.5</v>
      </c>
      <c r="L294">
        <f>INDEX(products!$A$1:$G$49,MATCH(orders!$D294,products!$A$1:$A$49,0),MATCH(orders!L$1,products!$A$1:$G$1,0))</f>
        <v>5.97</v>
      </c>
      <c r="M294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_xlfn.XLOOKUP(C294,customers!$A$2:$A$1001,customers!$I$2:$I$1001,,0)</f>
        <v>No</v>
      </c>
    </row>
    <row r="295" spans="1:16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_xlfn.XLOOKUP(C295,customers!$A$1:$A$1001,customers!$C$1:$C$1001,,0)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>
        <f>INDEX(products!$A$1:$G$49,MATCH(orders!$D295,products!$A$1:$A$49,0),MATCH(orders!K$1,products!$A$1:$G$1,0))</f>
        <v>0.5</v>
      </c>
      <c r="L295">
        <f>INDEX(products!$A$1:$G$49,MATCH(orders!$D295,products!$A$1:$A$49,0),MATCH(orders!L$1,products!$A$1:$G$1,0))</f>
        <v>5.97</v>
      </c>
      <c r="M29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_xlfn.XLOOKUP(C295,customers!$A$2:$A$1001,customers!$I$2:$I$1001,,0)</f>
        <v>No</v>
      </c>
    </row>
    <row r="296" spans="1:16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>
        <f>_xlfn.XLOOKUP(C296,customers!$A$1:$A$1001,customers!$C$1:$C$1001,,0)</f>
        <v>0</v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>
        <f>INDEX(products!$A$1:$G$49,MATCH(orders!$D296,products!$A$1:$A$49,0),MATCH(orders!K$1,products!$A$1:$G$1,0))</f>
        <v>1</v>
      </c>
      <c r="L296">
        <f>INDEX(products!$A$1:$G$49,MATCH(orders!$D296,products!$A$1:$A$49,0),MATCH(orders!L$1,products!$A$1:$G$1,0))</f>
        <v>14.85</v>
      </c>
      <c r="M296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_xlfn.XLOOKUP(C296,customers!$A$2:$A$1001,customers!$I$2:$I$1001,,0)</f>
        <v>No</v>
      </c>
    </row>
    <row r="297" spans="1:16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>
        <f>_xlfn.XLOOKUP(C297,customers!$A$1:$A$1001,customers!$C$1:$C$1001,,0)</f>
        <v>0</v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>
        <f>INDEX(products!$A$1:$G$49,MATCH(orders!$D297,products!$A$1:$A$49,0),MATCH(orders!K$1,products!$A$1:$G$1,0))</f>
        <v>1</v>
      </c>
      <c r="L297">
        <f>INDEX(products!$A$1:$G$49,MATCH(orders!$D297,products!$A$1:$A$49,0),MATCH(orders!L$1,products!$A$1:$G$1,0))</f>
        <v>13.75</v>
      </c>
      <c r="M297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_xlfn.XLOOKUP(C297,customers!$A$2:$A$1001,customers!$I$2:$I$1001,,0)</f>
        <v>No</v>
      </c>
    </row>
    <row r="298" spans="1:16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_xlfn.XLOOKUP(C298,customers!$A$1:$A$1001,customers!$C$1:$C$1001,,0)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>
        <f>INDEX(products!$A$1:$G$49,MATCH(orders!$D298,products!$A$1:$A$49,0),MATCH(orders!K$1,products!$A$1:$G$1,0))</f>
        <v>0.5</v>
      </c>
      <c r="L298">
        <f>INDEX(products!$A$1:$G$49,MATCH(orders!$D298,products!$A$1:$A$49,0),MATCH(orders!L$1,products!$A$1:$G$1,0))</f>
        <v>5.97</v>
      </c>
      <c r="M298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_xlfn.XLOOKUP(C298,customers!$A$2:$A$1001,customers!$I$2:$I$1001,,0)</f>
        <v>Yes</v>
      </c>
    </row>
    <row r="299" spans="1:16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_xlfn.XLOOKUP(C299,customers!$A$1:$A$1001,customers!$C$1:$C$1001,,0)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>
        <f>INDEX(products!$A$1:$G$49,MATCH(orders!$D299,products!$A$1:$A$49,0),MATCH(orders!K$1,products!$A$1:$G$1,0))</f>
        <v>0.5</v>
      </c>
      <c r="L299">
        <f>INDEX(products!$A$1:$G$49,MATCH(orders!$D299,products!$A$1:$A$49,0),MATCH(orders!L$1,products!$A$1:$G$1,0))</f>
        <v>5.3699999999999992</v>
      </c>
      <c r="M299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_xlfn.XLOOKUP(C299,customers!$A$2:$A$1001,customers!$I$2:$I$1001,,0)</f>
        <v>Yes</v>
      </c>
    </row>
    <row r="300" spans="1:16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_xlfn.XLOOKUP(C300,customers!$A$1:$A$1001,customers!$C$1:$C$1001,,0)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>
        <f>INDEX(products!$A$1:$G$49,MATCH(orders!$D300,products!$A$1:$A$49,0),MATCH(orders!K$1,products!$A$1:$G$1,0))</f>
        <v>0.2</v>
      </c>
      <c r="L300">
        <f>INDEX(products!$A$1:$G$49,MATCH(orders!$D300,products!$A$1:$A$49,0),MATCH(orders!L$1,products!$A$1:$G$1,0))</f>
        <v>4.4550000000000001</v>
      </c>
      <c r="M300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_xlfn.XLOOKUP(C300,customers!$A$2:$A$1001,customers!$I$2:$I$1001,,0)</f>
        <v>Yes</v>
      </c>
    </row>
    <row r="301" spans="1:16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_xlfn.XLOOKUP(C301,customers!$A$1:$A$1001,customers!$C$1:$C$1001,,0)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>
        <f>INDEX(products!$A$1:$G$49,MATCH(orders!$D301,products!$A$1:$A$49,0),MATCH(orders!K$1,products!$A$1:$G$1,0))</f>
        <v>2.5</v>
      </c>
      <c r="L301">
        <f>INDEX(products!$A$1:$G$49,MATCH(orders!$D301,products!$A$1:$A$49,0),MATCH(orders!L$1,products!$A$1:$G$1,0))</f>
        <v>34.154999999999994</v>
      </c>
      <c r="M301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_xlfn.XLOOKUP(C301,customers!$A$2:$A$1001,customers!$I$2:$I$1001,,0)</f>
        <v>Yes</v>
      </c>
    </row>
    <row r="302" spans="1:16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_xlfn.XLOOKUP(C302,customers!$A$1:$A$1001,customers!$C$1:$C$1001,,0)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>
        <f>INDEX(products!$A$1:$G$49,MATCH(orders!$D302,products!$A$1:$A$49,0),MATCH(orders!K$1,products!$A$1:$G$1,0))</f>
        <v>1</v>
      </c>
      <c r="L302">
        <f>INDEX(products!$A$1:$G$49,MATCH(orders!$D302,products!$A$1:$A$49,0),MATCH(orders!L$1,products!$A$1:$G$1,0))</f>
        <v>12.95</v>
      </c>
      <c r="M302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_xlfn.XLOOKUP(C302,customers!$A$2:$A$1001,customers!$I$2:$I$1001,,0)</f>
        <v>Yes</v>
      </c>
    </row>
    <row r="303" spans="1:16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_xlfn.XLOOKUP(C303,customers!$A$1:$A$1001,customers!$C$1:$C$1001,,0)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>
        <f>INDEX(products!$A$1:$G$49,MATCH(orders!$D303,products!$A$1:$A$49,0),MATCH(orders!K$1,products!$A$1:$G$1,0))</f>
        <v>0.2</v>
      </c>
      <c r="L303">
        <f>INDEX(products!$A$1:$G$49,MATCH(orders!$D303,products!$A$1:$A$49,0),MATCH(orders!L$1,products!$A$1:$G$1,0))</f>
        <v>3.8849999999999998</v>
      </c>
      <c r="M303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_xlfn.XLOOKUP(C303,customers!$A$2:$A$1001,customers!$I$2:$I$1001,,0)</f>
        <v>Yes</v>
      </c>
    </row>
    <row r="304" spans="1:16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_xlfn.XLOOKUP(C304,customers!$A$1:$A$1001,customers!$C$1:$C$1001,,0)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>
        <f>INDEX(products!$A$1:$G$49,MATCH(orders!$D304,products!$A$1:$A$49,0),MATCH(orders!K$1,products!$A$1:$G$1,0))</f>
        <v>0.5</v>
      </c>
      <c r="L304">
        <f>INDEX(products!$A$1:$G$49,MATCH(orders!$D304,products!$A$1:$A$49,0),MATCH(orders!L$1,products!$A$1:$G$1,0))</f>
        <v>6.75</v>
      </c>
      <c r="M304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_xlfn.XLOOKUP(C304,customers!$A$2:$A$1001,customers!$I$2:$I$1001,,0)</f>
        <v>No</v>
      </c>
    </row>
    <row r="305" spans="1:16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_xlfn.XLOOKUP(C305,customers!$A$1:$A$1001,customers!$C$1:$C$1001,,0)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>
        <f>INDEX(products!$A$1:$G$49,MATCH(orders!$D305,products!$A$1:$A$49,0),MATCH(orders!K$1,products!$A$1:$G$1,0))</f>
        <v>2.5</v>
      </c>
      <c r="L305">
        <f>INDEX(products!$A$1:$G$49,MATCH(orders!$D305,products!$A$1:$A$49,0),MATCH(orders!L$1,products!$A$1:$G$1,0))</f>
        <v>27.945</v>
      </c>
      <c r="M30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_xlfn.XLOOKUP(C305,customers!$A$2:$A$1001,customers!$I$2:$I$1001,,0)</f>
        <v>Yes</v>
      </c>
    </row>
    <row r="306" spans="1:16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_xlfn.XLOOKUP(C306,customers!$A$1:$A$1001,customers!$C$1:$C$1001,,0)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>
        <f>INDEX(products!$A$1:$G$49,MATCH(orders!$D306,products!$A$1:$A$49,0),MATCH(orders!K$1,products!$A$1:$G$1,0))</f>
        <v>0.2</v>
      </c>
      <c r="L306">
        <f>INDEX(products!$A$1:$G$49,MATCH(orders!$D306,products!$A$1:$A$49,0),MATCH(orders!L$1,products!$A$1:$G$1,0))</f>
        <v>3.8849999999999998</v>
      </c>
      <c r="M306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_xlfn.XLOOKUP(C306,customers!$A$2:$A$1001,customers!$I$2:$I$1001,,0)</f>
        <v>Yes</v>
      </c>
    </row>
    <row r="307" spans="1:16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_xlfn.XLOOKUP(C307,customers!$A$1:$A$1001,customers!$C$1:$C$1001,,0)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>
        <f>INDEX(products!$A$1:$G$49,MATCH(orders!$D307,products!$A$1:$A$49,0),MATCH(orders!K$1,products!$A$1:$G$1,0))</f>
        <v>0.2</v>
      </c>
      <c r="L307">
        <f>INDEX(products!$A$1:$G$49,MATCH(orders!$D307,products!$A$1:$A$49,0),MATCH(orders!L$1,products!$A$1:$G$1,0))</f>
        <v>4.3650000000000002</v>
      </c>
      <c r="M307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_xlfn.XLOOKUP(C307,customers!$A$2:$A$1001,customers!$I$2:$I$1001,,0)</f>
        <v>No</v>
      </c>
    </row>
    <row r="308" spans="1:16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_xlfn.XLOOKUP(C308,customers!$A$1:$A$1001,customers!$C$1:$C$1001,,0)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>
        <f>INDEX(products!$A$1:$G$49,MATCH(orders!$D308,products!$A$1:$A$49,0),MATCH(orders!K$1,products!$A$1:$G$1,0))</f>
        <v>0.2</v>
      </c>
      <c r="L308">
        <f>INDEX(products!$A$1:$G$49,MATCH(orders!$D308,products!$A$1:$A$49,0),MATCH(orders!L$1,products!$A$1:$G$1,0))</f>
        <v>2.9849999999999999</v>
      </c>
      <c r="M308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_xlfn.XLOOKUP(C308,customers!$A$2:$A$1001,customers!$I$2:$I$1001,,0)</f>
        <v>No</v>
      </c>
    </row>
    <row r="309" spans="1:16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_xlfn.XLOOKUP(C309,customers!$A$1:$A$1001,customers!$C$1:$C$1001,,0)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>
        <f>INDEX(products!$A$1:$G$49,MATCH(orders!$D309,products!$A$1:$A$49,0),MATCH(orders!K$1,products!$A$1:$G$1,0))</f>
        <v>1</v>
      </c>
      <c r="L309">
        <f>INDEX(products!$A$1:$G$49,MATCH(orders!$D309,products!$A$1:$A$49,0),MATCH(orders!L$1,products!$A$1:$G$1,0))</f>
        <v>11.25</v>
      </c>
      <c r="M309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_xlfn.XLOOKUP(C309,customers!$A$2:$A$1001,customers!$I$2:$I$1001,,0)</f>
        <v>Yes</v>
      </c>
    </row>
    <row r="310" spans="1:16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_xlfn.XLOOKUP(C310,customers!$A$1:$A$1001,customers!$C$1:$C$1001,,0)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>
        <f>INDEX(products!$A$1:$G$49,MATCH(orders!$D310,products!$A$1:$A$49,0),MATCH(orders!K$1,products!$A$1:$G$1,0))</f>
        <v>1</v>
      </c>
      <c r="L310">
        <f>INDEX(products!$A$1:$G$49,MATCH(orders!$D310,products!$A$1:$A$49,0),MATCH(orders!L$1,products!$A$1:$G$1,0))</f>
        <v>11.25</v>
      </c>
      <c r="M310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_xlfn.XLOOKUP(C310,customers!$A$2:$A$1001,customers!$I$2:$I$1001,,0)</f>
        <v>No</v>
      </c>
    </row>
    <row r="311" spans="1:16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_xlfn.XLOOKUP(C311,customers!$A$1:$A$1001,customers!$C$1:$C$1001,,0)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>
        <f>INDEX(products!$A$1:$G$49,MATCH(orders!$D311,products!$A$1:$A$49,0),MATCH(orders!K$1,products!$A$1:$G$1,0))</f>
        <v>0.2</v>
      </c>
      <c r="L311">
        <f>INDEX(products!$A$1:$G$49,MATCH(orders!$D311,products!$A$1:$A$49,0),MATCH(orders!L$1,products!$A$1:$G$1,0))</f>
        <v>4.3650000000000002</v>
      </c>
      <c r="M311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_xlfn.XLOOKUP(C311,customers!$A$2:$A$1001,customers!$I$2:$I$1001,,0)</f>
        <v>Yes</v>
      </c>
    </row>
    <row r="312" spans="1:16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_xlfn.XLOOKUP(C312,customers!$A$1:$A$1001,customers!$C$1:$C$1001,,0)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>
        <f>INDEX(products!$A$1:$G$49,MATCH(orders!$D312,products!$A$1:$A$49,0),MATCH(orders!K$1,products!$A$1:$G$1,0))</f>
        <v>1</v>
      </c>
      <c r="L312">
        <f>INDEX(products!$A$1:$G$49,MATCH(orders!$D312,products!$A$1:$A$49,0),MATCH(orders!L$1,products!$A$1:$G$1,0))</f>
        <v>14.85</v>
      </c>
      <c r="M312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_xlfn.XLOOKUP(C312,customers!$A$2:$A$1001,customers!$I$2:$I$1001,,0)</f>
        <v>No</v>
      </c>
    </row>
    <row r="313" spans="1:16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_xlfn.XLOOKUP(C313,customers!$A$1:$A$1001,customers!$C$1:$C$1001,,0)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>
        <f>INDEX(products!$A$1:$G$49,MATCH(orders!$D313,products!$A$1:$A$49,0),MATCH(orders!K$1,products!$A$1:$G$1,0))</f>
        <v>2.5</v>
      </c>
      <c r="L313">
        <f>INDEX(products!$A$1:$G$49,MATCH(orders!$D313,products!$A$1:$A$49,0),MATCH(orders!L$1,products!$A$1:$G$1,0))</f>
        <v>31.624999999999996</v>
      </c>
      <c r="M313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_xlfn.XLOOKUP(C313,customers!$A$2:$A$1001,customers!$I$2:$I$1001,,0)</f>
        <v>Yes</v>
      </c>
    </row>
    <row r="314" spans="1:16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_xlfn.XLOOKUP(C314,customers!$A$1:$A$1001,customers!$C$1:$C$1001,,0)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>
        <f>INDEX(products!$A$1:$G$49,MATCH(orders!$D314,products!$A$1:$A$49,0),MATCH(orders!K$1,products!$A$1:$G$1,0))</f>
        <v>0.5</v>
      </c>
      <c r="L314">
        <f>INDEX(products!$A$1:$G$49,MATCH(orders!$D314,products!$A$1:$A$49,0),MATCH(orders!L$1,products!$A$1:$G$1,0))</f>
        <v>5.97</v>
      </c>
      <c r="M314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_xlfn.XLOOKUP(C314,customers!$A$2:$A$1001,customers!$I$2:$I$1001,,0)</f>
        <v>Yes</v>
      </c>
    </row>
    <row r="315" spans="1:16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_xlfn.XLOOKUP(C315,customers!$A$1:$A$1001,customers!$C$1:$C$1001,,0)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>
        <f>INDEX(products!$A$1:$G$49,MATCH(orders!$D315,products!$A$1:$A$49,0),MATCH(orders!K$1,products!$A$1:$G$1,0))</f>
        <v>1</v>
      </c>
      <c r="L315">
        <f>INDEX(products!$A$1:$G$49,MATCH(orders!$D315,products!$A$1:$A$49,0),MATCH(orders!L$1,products!$A$1:$G$1,0))</f>
        <v>9.9499999999999993</v>
      </c>
      <c r="M31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_xlfn.XLOOKUP(C315,customers!$A$2:$A$1001,customers!$I$2:$I$1001,,0)</f>
        <v>Yes</v>
      </c>
    </row>
    <row r="316" spans="1:16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>
        <f>_xlfn.XLOOKUP(C316,customers!$A$1:$A$1001,customers!$C$1:$C$1001,,0)</f>
        <v>0</v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>
        <f>INDEX(products!$A$1:$G$49,MATCH(orders!$D316,products!$A$1:$A$49,0),MATCH(orders!K$1,products!$A$1:$G$1,0))</f>
        <v>1</v>
      </c>
      <c r="L316">
        <f>INDEX(products!$A$1:$G$49,MATCH(orders!$D316,products!$A$1:$A$49,0),MATCH(orders!L$1,products!$A$1:$G$1,0))</f>
        <v>8.9499999999999993</v>
      </c>
      <c r="M316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_xlfn.XLOOKUP(C316,customers!$A$2:$A$1001,customers!$I$2:$I$1001,,0)</f>
        <v>No</v>
      </c>
    </row>
    <row r="317" spans="1:16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_xlfn.XLOOKUP(C317,customers!$A$1:$A$1001,customers!$C$1:$C$1001,,0)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>
        <f>INDEX(products!$A$1:$G$49,MATCH(orders!$D317,products!$A$1:$A$49,0),MATCH(orders!K$1,products!$A$1:$G$1,0))</f>
        <v>2.5</v>
      </c>
      <c r="L317">
        <f>INDEX(products!$A$1:$G$49,MATCH(orders!$D317,products!$A$1:$A$49,0),MATCH(orders!L$1,products!$A$1:$G$1,0))</f>
        <v>34.154999999999994</v>
      </c>
      <c r="M317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_xlfn.XLOOKUP(C317,customers!$A$2:$A$1001,customers!$I$2:$I$1001,,0)</f>
        <v>Yes</v>
      </c>
    </row>
    <row r="318" spans="1:16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_xlfn.XLOOKUP(C318,customers!$A$1:$A$1001,customers!$C$1:$C$1001,,0)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>
        <f>INDEX(products!$A$1:$G$49,MATCH(orders!$D318,products!$A$1:$A$49,0),MATCH(orders!K$1,products!$A$1:$G$1,0))</f>
        <v>2.5</v>
      </c>
      <c r="L318">
        <f>INDEX(products!$A$1:$G$49,MATCH(orders!$D318,products!$A$1:$A$49,0),MATCH(orders!L$1,products!$A$1:$G$1,0))</f>
        <v>34.154999999999994</v>
      </c>
      <c r="M318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_xlfn.XLOOKUP(C318,customers!$A$2:$A$1001,customers!$I$2:$I$1001,,0)</f>
        <v>No</v>
      </c>
    </row>
    <row r="319" spans="1:16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_xlfn.XLOOKUP(C319,customers!$A$1:$A$1001,customers!$C$1:$C$1001,,0)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>
        <f>INDEX(products!$A$1:$G$49,MATCH(orders!$D319,products!$A$1:$A$49,0),MATCH(orders!K$1,products!$A$1:$G$1,0))</f>
        <v>0.5</v>
      </c>
      <c r="L319">
        <f>INDEX(products!$A$1:$G$49,MATCH(orders!$D319,products!$A$1:$A$49,0),MATCH(orders!L$1,products!$A$1:$G$1,0))</f>
        <v>7.29</v>
      </c>
      <c r="M319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_xlfn.XLOOKUP(C319,customers!$A$2:$A$1001,customers!$I$2:$I$1001,,0)</f>
        <v>No</v>
      </c>
    </row>
    <row r="320" spans="1:16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_xlfn.XLOOKUP(C320,customers!$A$1:$A$1001,customers!$C$1:$C$1001,,0)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>
        <f>INDEX(products!$A$1:$G$49,MATCH(orders!$D320,products!$A$1:$A$49,0),MATCH(orders!K$1,products!$A$1:$G$1,0))</f>
        <v>2.5</v>
      </c>
      <c r="L320">
        <f>INDEX(products!$A$1:$G$49,MATCH(orders!$D320,products!$A$1:$A$49,0),MATCH(orders!L$1,products!$A$1:$G$1,0))</f>
        <v>25.874999999999996</v>
      </c>
      <c r="M320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_xlfn.XLOOKUP(C320,customers!$A$2:$A$1001,customers!$I$2:$I$1001,,0)</f>
        <v>Yes</v>
      </c>
    </row>
    <row r="321" spans="1:16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_xlfn.XLOOKUP(C321,customers!$A$1:$A$1001,customers!$C$1:$C$1001,,0)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>
        <f>INDEX(products!$A$1:$G$49,MATCH(orders!$D321,products!$A$1:$A$49,0),MATCH(orders!K$1,products!$A$1:$G$1,0))</f>
        <v>0.2</v>
      </c>
      <c r="L321">
        <f>INDEX(products!$A$1:$G$49,MATCH(orders!$D321,products!$A$1:$A$49,0),MATCH(orders!L$1,products!$A$1:$G$1,0))</f>
        <v>4.125</v>
      </c>
      <c r="M321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_xlfn.XLOOKUP(C321,customers!$A$2:$A$1001,customers!$I$2:$I$1001,,0)</f>
        <v>Yes</v>
      </c>
    </row>
    <row r="322" spans="1:16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_xlfn.XLOOKUP(C322,customers!$A$1:$A$1001,customers!$C$1:$C$1001,,0)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>
        <f>INDEX(products!$A$1:$G$49,MATCH(orders!$D322,products!$A$1:$A$49,0),MATCH(orders!K$1,products!$A$1:$G$1,0))</f>
        <v>0.2</v>
      </c>
      <c r="L322">
        <f>INDEX(products!$A$1:$G$49,MATCH(orders!$D322,products!$A$1:$A$49,0),MATCH(orders!L$1,products!$A$1:$G$1,0))</f>
        <v>3.8849999999999998</v>
      </c>
      <c r="M322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_xlfn.XLOOKUP(C322,customers!$A$2:$A$1001,customers!$I$2:$I$1001,,0)</f>
        <v>Yes</v>
      </c>
    </row>
    <row r="323" spans="1:16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_xlfn.XLOOKUP(C323,customers!$A$1:$A$1001,customers!$C$1:$C$1001,,0)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>
        <f>INDEX(products!$A$1:$G$49,MATCH(orders!$D323,products!$A$1:$A$49,0),MATCH(orders!K$1,products!$A$1:$G$1,0))</f>
        <v>0.2</v>
      </c>
      <c r="L323">
        <f>INDEX(products!$A$1:$G$49,MATCH(orders!$D323,products!$A$1:$A$49,0),MATCH(orders!L$1,products!$A$1:$G$1,0))</f>
        <v>3.375</v>
      </c>
      <c r="M323">
        <f t="shared" ref="M323:M386" si="15">L323*E323</f>
        <v>20.25</v>
      </c>
      <c r="N323" t="str">
        <f t="shared" ref="N323:N386" si="16">IF(I323="Rob","Robusta",IF(I323="Exc","Excelsa",IF(I323="Lib","Liberica",IF(I323="Ara","Arabica"))))</f>
        <v>Arabica</v>
      </c>
      <c r="O323" t="str">
        <f t="shared" si="14"/>
        <v>Medium</v>
      </c>
      <c r="P323" t="str">
        <f>_xlfn.XLOOKUP(C323,customers!$A$2:$A$1001,customers!$I$2:$I$1001,,0)</f>
        <v>Yes</v>
      </c>
    </row>
    <row r="324" spans="1:16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_xlfn.XLOOKUP(C324,customers!$A$1:$A$1001,customers!$C$1:$C$1001,,0)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>
        <f>INDEX(products!$A$1:$G$49,MATCH(orders!$D324,products!$A$1:$A$49,0),MATCH(orders!K$1,products!$A$1:$G$1,0))</f>
        <v>0.5</v>
      </c>
      <c r="L324">
        <f>INDEX(products!$A$1:$G$49,MATCH(orders!$D324,products!$A$1:$A$49,0),MATCH(orders!L$1,products!$A$1:$G$1,0))</f>
        <v>7.77</v>
      </c>
      <c r="M324">
        <f t="shared" si="15"/>
        <v>23.31</v>
      </c>
      <c r="N324" t="str">
        <f t="shared" si="16"/>
        <v>Liberica</v>
      </c>
      <c r="O324" t="str">
        <f t="shared" si="14"/>
        <v>Dark</v>
      </c>
      <c r="P324" t="str">
        <f>_xlfn.XLOOKUP(C324,customers!$A$2:$A$1001,customers!$I$2:$I$1001,,0)</f>
        <v>No</v>
      </c>
    </row>
    <row r="325" spans="1:16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_xlfn.XLOOKUP(C325,customers!$A$1:$A$1001,customers!$C$1:$C$1001,,0)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>
        <f>INDEX(products!$A$1:$G$49,MATCH(orders!$D325,products!$A$1:$A$49,0),MATCH(orders!K$1,products!$A$1:$G$1,0))</f>
        <v>0.2</v>
      </c>
      <c r="L325">
        <f>INDEX(products!$A$1:$G$49,MATCH(orders!$D325,products!$A$1:$A$49,0),MATCH(orders!L$1,products!$A$1:$G$1,0))</f>
        <v>3.645</v>
      </c>
      <c r="M325">
        <f t="shared" si="15"/>
        <v>18.225000000000001</v>
      </c>
      <c r="N325" t="str">
        <f t="shared" si="16"/>
        <v>Excelsa</v>
      </c>
      <c r="O325" t="str">
        <f t="shared" ref="O325:O388" si="17">IF(J325="L","Light",IF(J325="M","Medium",IF(J325="D","Dark")))</f>
        <v>Dark</v>
      </c>
      <c r="P325" t="str">
        <f>_xlfn.XLOOKUP(C325,customers!$A$2:$A$1001,customers!$I$2:$I$1001,,0)</f>
        <v>Yes</v>
      </c>
    </row>
    <row r="326" spans="1:16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>
        <f>_xlfn.XLOOKUP(C326,customers!$A$1:$A$1001,customers!$C$1:$C$1001,,0)</f>
        <v>0</v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>
        <f>INDEX(products!$A$1:$G$49,MATCH(orders!$D326,products!$A$1:$A$49,0),MATCH(orders!K$1,products!$A$1:$G$1,0))</f>
        <v>1</v>
      </c>
      <c r="L326">
        <f>INDEX(products!$A$1:$G$49,MATCH(orders!$D326,products!$A$1:$A$49,0),MATCH(orders!L$1,products!$A$1:$G$1,0))</f>
        <v>13.75</v>
      </c>
      <c r="M326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_xlfn.XLOOKUP(C326,customers!$A$2:$A$1001,customers!$I$2:$I$1001,,0)</f>
        <v>No</v>
      </c>
    </row>
    <row r="327" spans="1:16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_xlfn.XLOOKUP(C327,customers!$A$1:$A$1001,customers!$C$1:$C$1001,,0)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>
        <f>INDEX(products!$A$1:$G$49,MATCH(orders!$D327,products!$A$1:$A$49,0),MATCH(orders!K$1,products!$A$1:$G$1,0))</f>
        <v>2.5</v>
      </c>
      <c r="L327">
        <f>INDEX(products!$A$1:$G$49,MATCH(orders!$D327,products!$A$1:$A$49,0),MATCH(orders!L$1,products!$A$1:$G$1,0))</f>
        <v>29.784999999999997</v>
      </c>
      <c r="M327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_xlfn.XLOOKUP(C327,customers!$A$2:$A$1001,customers!$I$2:$I$1001,,0)</f>
        <v>Yes</v>
      </c>
    </row>
    <row r="328" spans="1:16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>
        <f>_xlfn.XLOOKUP(C328,customers!$A$1:$A$1001,customers!$C$1:$C$1001,,0)</f>
        <v>0</v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>
        <f>INDEX(products!$A$1:$G$49,MATCH(orders!$D328,products!$A$1:$A$49,0),MATCH(orders!K$1,products!$A$1:$G$1,0))</f>
        <v>1</v>
      </c>
      <c r="L328">
        <f>INDEX(products!$A$1:$G$49,MATCH(orders!$D328,products!$A$1:$A$49,0),MATCH(orders!L$1,products!$A$1:$G$1,0))</f>
        <v>8.9499999999999993</v>
      </c>
      <c r="M328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_xlfn.XLOOKUP(C328,customers!$A$2:$A$1001,customers!$I$2:$I$1001,,0)</f>
        <v>No</v>
      </c>
    </row>
    <row r="329" spans="1:16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_xlfn.XLOOKUP(C329,customers!$A$1:$A$1001,customers!$C$1:$C$1001,,0)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>
        <f>INDEX(products!$A$1:$G$49,MATCH(orders!$D329,products!$A$1:$A$49,0),MATCH(orders!K$1,products!$A$1:$G$1,0))</f>
        <v>1</v>
      </c>
      <c r="L329">
        <f>INDEX(products!$A$1:$G$49,MATCH(orders!$D329,products!$A$1:$A$49,0),MATCH(orders!L$1,products!$A$1:$G$1,0))</f>
        <v>8.9499999999999993</v>
      </c>
      <c r="M329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_xlfn.XLOOKUP(C329,customers!$A$2:$A$1001,customers!$I$2:$I$1001,,0)</f>
        <v>Yes</v>
      </c>
    </row>
    <row r="330" spans="1:16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>
        <f>_xlfn.XLOOKUP(C330,customers!$A$1:$A$1001,customers!$C$1:$C$1001,,0)</f>
        <v>0</v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>
        <f>INDEX(products!$A$1:$G$49,MATCH(orders!$D330,products!$A$1:$A$49,0),MATCH(orders!K$1,products!$A$1:$G$1,0))</f>
        <v>0.5</v>
      </c>
      <c r="L330">
        <f>INDEX(products!$A$1:$G$49,MATCH(orders!$D330,products!$A$1:$A$49,0),MATCH(orders!L$1,products!$A$1:$G$1,0))</f>
        <v>9.51</v>
      </c>
      <c r="M330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_xlfn.XLOOKUP(C330,customers!$A$2:$A$1001,customers!$I$2:$I$1001,,0)</f>
        <v>Yes</v>
      </c>
    </row>
    <row r="331" spans="1:16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_xlfn.XLOOKUP(C331,customers!$A$1:$A$1001,customers!$C$1:$C$1001,,0)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>
        <f>INDEX(products!$A$1:$G$49,MATCH(orders!$D331,products!$A$1:$A$49,0),MATCH(orders!K$1,products!$A$1:$G$1,0))</f>
        <v>0.5</v>
      </c>
      <c r="L331">
        <f>INDEX(products!$A$1:$G$49,MATCH(orders!$D331,products!$A$1:$A$49,0),MATCH(orders!L$1,products!$A$1:$G$1,0))</f>
        <v>5.3699999999999992</v>
      </c>
      <c r="M331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_xlfn.XLOOKUP(C331,customers!$A$2:$A$1001,customers!$I$2:$I$1001,,0)</f>
        <v>Yes</v>
      </c>
    </row>
    <row r="332" spans="1:16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_xlfn.XLOOKUP(C332,customers!$A$1:$A$1001,customers!$C$1:$C$1001,,0)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>
        <f>INDEX(products!$A$1:$G$49,MATCH(orders!$D332,products!$A$1:$A$49,0),MATCH(orders!K$1,products!$A$1:$G$1,0))</f>
        <v>0.5</v>
      </c>
      <c r="L332">
        <f>INDEX(products!$A$1:$G$49,MATCH(orders!$D332,products!$A$1:$A$49,0),MATCH(orders!L$1,products!$A$1:$G$1,0))</f>
        <v>5.3699999999999992</v>
      </c>
      <c r="M332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_xlfn.XLOOKUP(C332,customers!$A$2:$A$1001,customers!$I$2:$I$1001,,0)</f>
        <v>No</v>
      </c>
    </row>
    <row r="333" spans="1:16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_xlfn.XLOOKUP(C333,customers!$A$1:$A$1001,customers!$C$1:$C$1001,,0)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>
        <f>INDEX(products!$A$1:$G$49,MATCH(orders!$D333,products!$A$1:$A$49,0),MATCH(orders!K$1,products!$A$1:$G$1,0))</f>
        <v>2.5</v>
      </c>
      <c r="L333">
        <f>INDEX(products!$A$1:$G$49,MATCH(orders!$D333,products!$A$1:$A$49,0),MATCH(orders!L$1,products!$A$1:$G$1,0))</f>
        <v>22.884999999999998</v>
      </c>
      <c r="M333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_xlfn.XLOOKUP(C333,customers!$A$2:$A$1001,customers!$I$2:$I$1001,,0)</f>
        <v>Yes</v>
      </c>
    </row>
    <row r="334" spans="1:16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_xlfn.XLOOKUP(C334,customers!$A$1:$A$1001,customers!$C$1:$C$1001,,0)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>
        <f>INDEX(products!$A$1:$G$49,MATCH(orders!$D334,products!$A$1:$A$49,0),MATCH(orders!K$1,products!$A$1:$G$1,0))</f>
        <v>0.5</v>
      </c>
      <c r="L334">
        <f>INDEX(products!$A$1:$G$49,MATCH(orders!$D334,products!$A$1:$A$49,0),MATCH(orders!L$1,products!$A$1:$G$1,0))</f>
        <v>5.97</v>
      </c>
      <c r="M334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_xlfn.XLOOKUP(C334,customers!$A$2:$A$1001,customers!$I$2:$I$1001,,0)</f>
        <v>Yes</v>
      </c>
    </row>
    <row r="335" spans="1:16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_xlfn.XLOOKUP(C335,customers!$A$1:$A$1001,customers!$C$1:$C$1001,,0)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>
        <f>INDEX(products!$A$1:$G$49,MATCH(orders!$D335,products!$A$1:$A$49,0),MATCH(orders!K$1,products!$A$1:$G$1,0))</f>
        <v>0.5</v>
      </c>
      <c r="L335">
        <f>INDEX(products!$A$1:$G$49,MATCH(orders!$D335,products!$A$1:$A$49,0),MATCH(orders!L$1,products!$A$1:$G$1,0))</f>
        <v>5.97</v>
      </c>
      <c r="M33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_xlfn.XLOOKUP(C335,customers!$A$2:$A$1001,customers!$I$2:$I$1001,,0)</f>
        <v>Yes</v>
      </c>
    </row>
    <row r="336" spans="1:16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>
        <f>_xlfn.XLOOKUP(C336,customers!$A$1:$A$1001,customers!$C$1:$C$1001,,0)</f>
        <v>0</v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>
        <f>INDEX(products!$A$1:$G$49,MATCH(orders!$D336,products!$A$1:$A$49,0),MATCH(orders!K$1,products!$A$1:$G$1,0))</f>
        <v>1</v>
      </c>
      <c r="L336">
        <f>INDEX(products!$A$1:$G$49,MATCH(orders!$D336,products!$A$1:$A$49,0),MATCH(orders!L$1,products!$A$1:$G$1,0))</f>
        <v>11.95</v>
      </c>
      <c r="M336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_xlfn.XLOOKUP(C336,customers!$A$2:$A$1001,customers!$I$2:$I$1001,,0)</f>
        <v>No</v>
      </c>
    </row>
    <row r="337" spans="1:16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_xlfn.XLOOKUP(C337,customers!$A$1:$A$1001,customers!$C$1:$C$1001,,0)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>
        <f>INDEX(products!$A$1:$G$49,MATCH(orders!$D337,products!$A$1:$A$49,0),MATCH(orders!K$1,products!$A$1:$G$1,0))</f>
        <v>0.2</v>
      </c>
      <c r="L337">
        <f>INDEX(products!$A$1:$G$49,MATCH(orders!$D337,products!$A$1:$A$49,0),MATCH(orders!L$1,products!$A$1:$G$1,0))</f>
        <v>4.7549999999999999</v>
      </c>
      <c r="M337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_xlfn.XLOOKUP(C337,customers!$A$2:$A$1001,customers!$I$2:$I$1001,,0)</f>
        <v>Yes</v>
      </c>
    </row>
    <row r="338" spans="1:16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_xlfn.XLOOKUP(C338,customers!$A$1:$A$1001,customers!$C$1:$C$1001,,0)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>
        <f>INDEX(products!$A$1:$G$49,MATCH(orders!$D338,products!$A$1:$A$49,0),MATCH(orders!K$1,products!$A$1:$G$1,0))</f>
        <v>1</v>
      </c>
      <c r="L338">
        <f>INDEX(products!$A$1:$G$49,MATCH(orders!$D338,products!$A$1:$A$49,0),MATCH(orders!L$1,products!$A$1:$G$1,0))</f>
        <v>11.25</v>
      </c>
      <c r="M338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_xlfn.XLOOKUP(C338,customers!$A$2:$A$1001,customers!$I$2:$I$1001,,0)</f>
        <v>No</v>
      </c>
    </row>
    <row r="339" spans="1:16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>
        <f>_xlfn.XLOOKUP(C339,customers!$A$1:$A$1001,customers!$C$1:$C$1001,,0)</f>
        <v>0</v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>
        <f>INDEX(products!$A$1:$G$49,MATCH(orders!$D339,products!$A$1:$A$49,0),MATCH(orders!K$1,products!$A$1:$G$1,0))</f>
        <v>2.5</v>
      </c>
      <c r="L339">
        <f>INDEX(products!$A$1:$G$49,MATCH(orders!$D339,products!$A$1:$A$49,0),MATCH(orders!L$1,products!$A$1:$G$1,0))</f>
        <v>27.945</v>
      </c>
      <c r="M339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_xlfn.XLOOKUP(C339,customers!$A$2:$A$1001,customers!$I$2:$I$1001,,0)</f>
        <v>No</v>
      </c>
    </row>
    <row r="340" spans="1:16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_xlfn.XLOOKUP(C340,customers!$A$1:$A$1001,customers!$C$1:$C$1001,,0)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>
        <f>INDEX(products!$A$1:$G$49,MATCH(orders!$D340,products!$A$1:$A$49,0),MATCH(orders!K$1,products!$A$1:$G$1,0))</f>
        <v>1</v>
      </c>
      <c r="L340">
        <f>INDEX(products!$A$1:$G$49,MATCH(orders!$D340,products!$A$1:$A$49,0),MATCH(orders!L$1,products!$A$1:$G$1,0))</f>
        <v>14.85</v>
      </c>
      <c r="M340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_xlfn.XLOOKUP(C340,customers!$A$2:$A$1001,customers!$I$2:$I$1001,,0)</f>
        <v>No</v>
      </c>
    </row>
    <row r="341" spans="1:16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_xlfn.XLOOKUP(C341,customers!$A$1:$A$1001,customers!$C$1:$C$1001,,0)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>
        <f>INDEX(products!$A$1:$G$49,MATCH(orders!$D341,products!$A$1:$A$49,0),MATCH(orders!K$1,products!$A$1:$G$1,0))</f>
        <v>0.2</v>
      </c>
      <c r="L341">
        <f>INDEX(products!$A$1:$G$49,MATCH(orders!$D341,products!$A$1:$A$49,0),MATCH(orders!L$1,products!$A$1:$G$1,0))</f>
        <v>3.645</v>
      </c>
      <c r="M341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_xlfn.XLOOKUP(C341,customers!$A$2:$A$1001,customers!$I$2:$I$1001,,0)</f>
        <v>Yes</v>
      </c>
    </row>
    <row r="342" spans="1:16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_xlfn.XLOOKUP(C342,customers!$A$1:$A$1001,customers!$C$1:$C$1001,,0)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>
        <f>INDEX(products!$A$1:$G$49,MATCH(orders!$D342,products!$A$1:$A$49,0),MATCH(orders!K$1,products!$A$1:$G$1,0))</f>
        <v>0.5</v>
      </c>
      <c r="L342">
        <f>INDEX(products!$A$1:$G$49,MATCH(orders!$D342,products!$A$1:$A$49,0),MATCH(orders!L$1,products!$A$1:$G$1,0))</f>
        <v>7.29</v>
      </c>
      <c r="M342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_xlfn.XLOOKUP(C342,customers!$A$2:$A$1001,customers!$I$2:$I$1001,,0)</f>
        <v>Yes</v>
      </c>
    </row>
    <row r="343" spans="1:16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_xlfn.XLOOKUP(C343,customers!$A$1:$A$1001,customers!$C$1:$C$1001,,0)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>
        <f>INDEX(products!$A$1:$G$49,MATCH(orders!$D343,products!$A$1:$A$49,0),MATCH(orders!K$1,products!$A$1:$G$1,0))</f>
        <v>0.5</v>
      </c>
      <c r="L343">
        <f>INDEX(products!$A$1:$G$49,MATCH(orders!$D343,products!$A$1:$A$49,0),MATCH(orders!L$1,products!$A$1:$G$1,0))</f>
        <v>8.91</v>
      </c>
      <c r="M343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_xlfn.XLOOKUP(C343,customers!$A$2:$A$1001,customers!$I$2:$I$1001,,0)</f>
        <v>No</v>
      </c>
    </row>
    <row r="344" spans="1:16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_xlfn.XLOOKUP(C344,customers!$A$1:$A$1001,customers!$C$1:$C$1001,,0)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>
        <f>INDEX(products!$A$1:$G$49,MATCH(orders!$D344,products!$A$1:$A$49,0),MATCH(orders!K$1,products!$A$1:$G$1,0))</f>
        <v>0.5</v>
      </c>
      <c r="L344">
        <f>INDEX(products!$A$1:$G$49,MATCH(orders!$D344,products!$A$1:$A$49,0),MATCH(orders!L$1,products!$A$1:$G$1,0))</f>
        <v>7.77</v>
      </c>
      <c r="M344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_xlfn.XLOOKUP(C344,customers!$A$2:$A$1001,customers!$I$2:$I$1001,,0)</f>
        <v>No</v>
      </c>
    </row>
    <row r="345" spans="1:16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_xlfn.XLOOKUP(C345,customers!$A$1:$A$1001,customers!$C$1:$C$1001,,0)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>
        <f>INDEX(products!$A$1:$G$49,MATCH(orders!$D345,products!$A$1:$A$49,0),MATCH(orders!K$1,products!$A$1:$G$1,0))</f>
        <v>0.5</v>
      </c>
      <c r="L345">
        <f>INDEX(products!$A$1:$G$49,MATCH(orders!$D345,products!$A$1:$A$49,0),MATCH(orders!L$1,products!$A$1:$G$1,0))</f>
        <v>5.3699999999999992</v>
      </c>
      <c r="M34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_xlfn.XLOOKUP(C345,customers!$A$2:$A$1001,customers!$I$2:$I$1001,,0)</f>
        <v>No</v>
      </c>
    </row>
    <row r="346" spans="1:16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>
        <f>_xlfn.XLOOKUP(C346,customers!$A$1:$A$1001,customers!$C$1:$C$1001,,0)</f>
        <v>0</v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>
        <f>INDEX(products!$A$1:$G$49,MATCH(orders!$D346,products!$A$1:$A$49,0),MATCH(orders!K$1,products!$A$1:$G$1,0))</f>
        <v>1</v>
      </c>
      <c r="L346">
        <f>INDEX(products!$A$1:$G$49,MATCH(orders!$D346,products!$A$1:$A$49,0),MATCH(orders!L$1,products!$A$1:$G$1,0))</f>
        <v>9.9499999999999993</v>
      </c>
      <c r="M346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_xlfn.XLOOKUP(C346,customers!$A$2:$A$1001,customers!$I$2:$I$1001,,0)</f>
        <v>Yes</v>
      </c>
    </row>
    <row r="347" spans="1:16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_xlfn.XLOOKUP(C347,customers!$A$1:$A$1001,customers!$C$1:$C$1001,,0)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>
        <f>INDEX(products!$A$1:$G$49,MATCH(orders!$D347,products!$A$1:$A$49,0),MATCH(orders!K$1,products!$A$1:$G$1,0))</f>
        <v>1</v>
      </c>
      <c r="L347">
        <f>INDEX(products!$A$1:$G$49,MATCH(orders!$D347,products!$A$1:$A$49,0),MATCH(orders!L$1,products!$A$1:$G$1,0))</f>
        <v>11.95</v>
      </c>
      <c r="M347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_xlfn.XLOOKUP(C347,customers!$A$2:$A$1001,customers!$I$2:$I$1001,,0)</f>
        <v>No</v>
      </c>
    </row>
    <row r="348" spans="1:16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_xlfn.XLOOKUP(C348,customers!$A$1:$A$1001,customers!$C$1:$C$1001,,0)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>
        <f>INDEX(products!$A$1:$G$49,MATCH(orders!$D348,products!$A$1:$A$49,0),MATCH(orders!K$1,products!$A$1:$G$1,0))</f>
        <v>0.5</v>
      </c>
      <c r="L348">
        <f>INDEX(products!$A$1:$G$49,MATCH(orders!$D348,products!$A$1:$A$49,0),MATCH(orders!L$1,products!$A$1:$G$1,0))</f>
        <v>7.77</v>
      </c>
      <c r="M348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_xlfn.XLOOKUP(C348,customers!$A$2:$A$1001,customers!$I$2:$I$1001,,0)</f>
        <v>Yes</v>
      </c>
    </row>
    <row r="349" spans="1:16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_xlfn.XLOOKUP(C349,customers!$A$1:$A$1001,customers!$C$1:$C$1001,,0)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>
        <f>INDEX(products!$A$1:$G$49,MATCH(orders!$D349,products!$A$1:$A$49,0),MATCH(orders!K$1,products!$A$1:$G$1,0))</f>
        <v>1</v>
      </c>
      <c r="L349">
        <f>INDEX(products!$A$1:$G$49,MATCH(orders!$D349,products!$A$1:$A$49,0),MATCH(orders!L$1,products!$A$1:$G$1,0))</f>
        <v>14.55</v>
      </c>
      <c r="M349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_xlfn.XLOOKUP(C349,customers!$A$2:$A$1001,customers!$I$2:$I$1001,,0)</f>
        <v>No</v>
      </c>
    </row>
    <row r="350" spans="1:16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_xlfn.XLOOKUP(C350,customers!$A$1:$A$1001,customers!$C$1:$C$1001,,0)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>
        <f>INDEX(products!$A$1:$G$49,MATCH(orders!$D350,products!$A$1:$A$49,0),MATCH(orders!K$1,products!$A$1:$G$1,0))</f>
        <v>2.5</v>
      </c>
      <c r="L350">
        <f>INDEX(products!$A$1:$G$49,MATCH(orders!$D350,products!$A$1:$A$49,0),MATCH(orders!L$1,products!$A$1:$G$1,0))</f>
        <v>34.154999999999994</v>
      </c>
      <c r="M350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_xlfn.XLOOKUP(C350,customers!$A$2:$A$1001,customers!$I$2:$I$1001,,0)</f>
        <v>No</v>
      </c>
    </row>
    <row r="351" spans="1:16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_xlfn.XLOOKUP(C351,customers!$A$1:$A$1001,customers!$C$1:$C$1001,,0)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>
        <f>INDEX(products!$A$1:$G$49,MATCH(orders!$D351,products!$A$1:$A$49,0),MATCH(orders!K$1,products!$A$1:$G$1,0))</f>
        <v>0.2</v>
      </c>
      <c r="L351">
        <f>INDEX(products!$A$1:$G$49,MATCH(orders!$D351,products!$A$1:$A$49,0),MATCH(orders!L$1,products!$A$1:$G$1,0))</f>
        <v>3.5849999999999995</v>
      </c>
      <c r="M351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_xlfn.XLOOKUP(C351,customers!$A$2:$A$1001,customers!$I$2:$I$1001,,0)</f>
        <v>No</v>
      </c>
    </row>
    <row r="352" spans="1:16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_xlfn.XLOOKUP(C352,customers!$A$1:$A$1001,customers!$C$1:$C$1001,,0)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>
        <f>INDEX(products!$A$1:$G$49,MATCH(orders!$D352,products!$A$1:$A$49,0),MATCH(orders!K$1,products!$A$1:$G$1,0))</f>
        <v>0.5</v>
      </c>
      <c r="L352">
        <f>INDEX(products!$A$1:$G$49,MATCH(orders!$D352,products!$A$1:$A$49,0),MATCH(orders!L$1,products!$A$1:$G$1,0))</f>
        <v>5.97</v>
      </c>
      <c r="M352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_xlfn.XLOOKUP(C352,customers!$A$2:$A$1001,customers!$I$2:$I$1001,,0)</f>
        <v>No</v>
      </c>
    </row>
    <row r="353" spans="1:16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_xlfn.XLOOKUP(C353,customers!$A$1:$A$1001,customers!$C$1:$C$1001,,0)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>
        <f>INDEX(products!$A$1:$G$49,MATCH(orders!$D353,products!$A$1:$A$49,0),MATCH(orders!K$1,products!$A$1:$G$1,0))</f>
        <v>1</v>
      </c>
      <c r="L353">
        <f>INDEX(products!$A$1:$G$49,MATCH(orders!$D353,products!$A$1:$A$49,0),MATCH(orders!L$1,products!$A$1:$G$1,0))</f>
        <v>11.25</v>
      </c>
      <c r="M353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_xlfn.XLOOKUP(C353,customers!$A$2:$A$1001,customers!$I$2:$I$1001,,0)</f>
        <v>No</v>
      </c>
    </row>
    <row r="354" spans="1:16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>
        <f>_xlfn.XLOOKUP(C354,customers!$A$1:$A$1001,customers!$C$1:$C$1001,,0)</f>
        <v>0</v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>
        <f>INDEX(products!$A$1:$G$49,MATCH(orders!$D354,products!$A$1:$A$49,0),MATCH(orders!K$1,products!$A$1:$G$1,0))</f>
        <v>0.5</v>
      </c>
      <c r="L354">
        <f>INDEX(products!$A$1:$G$49,MATCH(orders!$D354,products!$A$1:$A$49,0),MATCH(orders!L$1,products!$A$1:$G$1,0))</f>
        <v>7.29</v>
      </c>
      <c r="M354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_xlfn.XLOOKUP(C354,customers!$A$2:$A$1001,customers!$I$2:$I$1001,,0)</f>
        <v>No</v>
      </c>
    </row>
    <row r="355" spans="1:16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>
        <f>_xlfn.XLOOKUP(C355,customers!$A$1:$A$1001,customers!$C$1:$C$1001,,0)</f>
        <v>0</v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>
        <f>INDEX(products!$A$1:$G$49,MATCH(orders!$D355,products!$A$1:$A$49,0),MATCH(orders!K$1,products!$A$1:$G$1,0))</f>
        <v>0.5</v>
      </c>
      <c r="L355">
        <f>INDEX(products!$A$1:$G$49,MATCH(orders!$D355,products!$A$1:$A$49,0),MATCH(orders!L$1,products!$A$1:$G$1,0))</f>
        <v>6.75</v>
      </c>
      <c r="M35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_xlfn.XLOOKUP(C355,customers!$A$2:$A$1001,customers!$I$2:$I$1001,,0)</f>
        <v>Yes</v>
      </c>
    </row>
    <row r="356" spans="1:16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_xlfn.XLOOKUP(C356,customers!$A$1:$A$1001,customers!$C$1:$C$1001,,0)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>
        <f>INDEX(products!$A$1:$G$49,MATCH(orders!$D356,products!$A$1:$A$49,0),MATCH(orders!K$1,products!$A$1:$G$1,0))</f>
        <v>2.5</v>
      </c>
      <c r="L356">
        <f>INDEX(products!$A$1:$G$49,MATCH(orders!$D356,products!$A$1:$A$49,0),MATCH(orders!L$1,products!$A$1:$G$1,0))</f>
        <v>25.874999999999996</v>
      </c>
      <c r="M356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_xlfn.XLOOKUP(C356,customers!$A$2:$A$1001,customers!$I$2:$I$1001,,0)</f>
        <v>No</v>
      </c>
    </row>
    <row r="357" spans="1:16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_xlfn.XLOOKUP(C357,customers!$A$1:$A$1001,customers!$C$1:$C$1001,,0)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>
        <f>INDEX(products!$A$1:$G$49,MATCH(orders!$D357,products!$A$1:$A$49,0),MATCH(orders!K$1,products!$A$1:$G$1,0))</f>
        <v>2.5</v>
      </c>
      <c r="L357">
        <f>INDEX(products!$A$1:$G$49,MATCH(orders!$D357,products!$A$1:$A$49,0),MATCH(orders!L$1,products!$A$1:$G$1,0))</f>
        <v>22.884999999999998</v>
      </c>
      <c r="M357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_xlfn.XLOOKUP(C357,customers!$A$2:$A$1001,customers!$I$2:$I$1001,,0)</f>
        <v>Yes</v>
      </c>
    </row>
    <row r="358" spans="1:16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_xlfn.XLOOKUP(C358,customers!$A$1:$A$1001,customers!$C$1:$C$1001,,0)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>
        <f>INDEX(products!$A$1:$G$49,MATCH(orders!$D358,products!$A$1:$A$49,0),MATCH(orders!K$1,products!$A$1:$G$1,0))</f>
        <v>1</v>
      </c>
      <c r="L358">
        <f>INDEX(products!$A$1:$G$49,MATCH(orders!$D358,products!$A$1:$A$49,0),MATCH(orders!L$1,products!$A$1:$G$1,0))</f>
        <v>12.95</v>
      </c>
      <c r="M358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_xlfn.XLOOKUP(C358,customers!$A$2:$A$1001,customers!$I$2:$I$1001,,0)</f>
        <v>Yes</v>
      </c>
    </row>
    <row r="359" spans="1:16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>
        <f>_xlfn.XLOOKUP(C359,customers!$A$1:$A$1001,customers!$C$1:$C$1001,,0)</f>
        <v>0</v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>
        <f>INDEX(products!$A$1:$G$49,MATCH(orders!$D359,products!$A$1:$A$49,0),MATCH(orders!K$1,products!$A$1:$G$1,0))</f>
        <v>2.5</v>
      </c>
      <c r="L359">
        <f>INDEX(products!$A$1:$G$49,MATCH(orders!$D359,products!$A$1:$A$49,0),MATCH(orders!L$1,products!$A$1:$G$1,0))</f>
        <v>25.874999999999996</v>
      </c>
      <c r="M359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_xlfn.XLOOKUP(C359,customers!$A$2:$A$1001,customers!$I$2:$I$1001,,0)</f>
        <v>No</v>
      </c>
    </row>
    <row r="360" spans="1:16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_xlfn.XLOOKUP(C360,customers!$A$1:$A$1001,customers!$C$1:$C$1001,,0)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>
        <f>INDEX(products!$A$1:$G$49,MATCH(orders!$D360,products!$A$1:$A$49,0),MATCH(orders!K$1,products!$A$1:$G$1,0))</f>
        <v>2.5</v>
      </c>
      <c r="L360">
        <f>INDEX(products!$A$1:$G$49,MATCH(orders!$D360,products!$A$1:$A$49,0),MATCH(orders!L$1,products!$A$1:$G$1,0))</f>
        <v>29.784999999999997</v>
      </c>
      <c r="M360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_xlfn.XLOOKUP(C360,customers!$A$2:$A$1001,customers!$I$2:$I$1001,,0)</f>
        <v>No</v>
      </c>
    </row>
    <row r="361" spans="1:16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_xlfn.XLOOKUP(C361,customers!$A$1:$A$1001,customers!$C$1:$C$1001,,0)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>
        <f>INDEX(products!$A$1:$G$49,MATCH(orders!$D361,products!$A$1:$A$49,0),MATCH(orders!K$1,products!$A$1:$G$1,0))</f>
        <v>0.2</v>
      </c>
      <c r="L361">
        <f>INDEX(products!$A$1:$G$49,MATCH(orders!$D361,products!$A$1:$A$49,0),MATCH(orders!L$1,products!$A$1:$G$1,0))</f>
        <v>3.5849999999999995</v>
      </c>
      <c r="M361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_xlfn.XLOOKUP(C361,customers!$A$2:$A$1001,customers!$I$2:$I$1001,,0)</f>
        <v>No</v>
      </c>
    </row>
    <row r="362" spans="1:16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_xlfn.XLOOKUP(C362,customers!$A$1:$A$1001,customers!$C$1:$C$1001,,0)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>
        <f>INDEX(products!$A$1:$G$49,MATCH(orders!$D362,products!$A$1:$A$49,0),MATCH(orders!K$1,products!$A$1:$G$1,0))</f>
        <v>2.5</v>
      </c>
      <c r="L362">
        <f>INDEX(products!$A$1:$G$49,MATCH(orders!$D362,products!$A$1:$A$49,0),MATCH(orders!L$1,products!$A$1:$G$1,0))</f>
        <v>20.584999999999997</v>
      </c>
      <c r="M362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_xlfn.XLOOKUP(C362,customers!$A$2:$A$1001,customers!$I$2:$I$1001,,0)</f>
        <v>No</v>
      </c>
    </row>
    <row r="363" spans="1:16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_xlfn.XLOOKUP(C363,customers!$A$1:$A$1001,customers!$C$1:$C$1001,,0)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>
        <f>INDEX(products!$A$1:$G$49,MATCH(orders!$D363,products!$A$1:$A$49,0),MATCH(orders!K$1,products!$A$1:$G$1,0))</f>
        <v>0.5</v>
      </c>
      <c r="L363">
        <f>INDEX(products!$A$1:$G$49,MATCH(orders!$D363,products!$A$1:$A$49,0),MATCH(orders!L$1,products!$A$1:$G$1,0))</f>
        <v>5.97</v>
      </c>
      <c r="M363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_xlfn.XLOOKUP(C363,customers!$A$2:$A$1001,customers!$I$2:$I$1001,,0)</f>
        <v>No</v>
      </c>
    </row>
    <row r="364" spans="1:16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_xlfn.XLOOKUP(C364,customers!$A$1:$A$1001,customers!$C$1:$C$1001,,0)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>
        <f>INDEX(products!$A$1:$G$49,MATCH(orders!$D364,products!$A$1:$A$49,0),MATCH(orders!K$1,products!$A$1:$G$1,0))</f>
        <v>1</v>
      </c>
      <c r="L364">
        <f>INDEX(products!$A$1:$G$49,MATCH(orders!$D364,products!$A$1:$A$49,0),MATCH(orders!L$1,products!$A$1:$G$1,0))</f>
        <v>14.85</v>
      </c>
      <c r="M364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_xlfn.XLOOKUP(C364,customers!$A$2:$A$1001,customers!$I$2:$I$1001,,0)</f>
        <v>Yes</v>
      </c>
    </row>
    <row r="365" spans="1:16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_xlfn.XLOOKUP(C365,customers!$A$1:$A$1001,customers!$C$1:$C$1001,,0)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>
        <f>INDEX(products!$A$1:$G$49,MATCH(orders!$D365,products!$A$1:$A$49,0),MATCH(orders!K$1,products!$A$1:$G$1,0))</f>
        <v>1</v>
      </c>
      <c r="L365">
        <f>INDEX(products!$A$1:$G$49,MATCH(orders!$D365,products!$A$1:$A$49,0),MATCH(orders!L$1,products!$A$1:$G$1,0))</f>
        <v>14.55</v>
      </c>
      <c r="M36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_xlfn.XLOOKUP(C365,customers!$A$2:$A$1001,customers!$I$2:$I$1001,,0)</f>
        <v>No</v>
      </c>
    </row>
    <row r="366" spans="1:16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_xlfn.XLOOKUP(C366,customers!$A$1:$A$1001,customers!$C$1:$C$1001,,0)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>
        <f>INDEX(products!$A$1:$G$49,MATCH(orders!$D366,products!$A$1:$A$49,0),MATCH(orders!K$1,products!$A$1:$G$1,0))</f>
        <v>1</v>
      </c>
      <c r="L366">
        <f>INDEX(products!$A$1:$G$49,MATCH(orders!$D366,products!$A$1:$A$49,0),MATCH(orders!L$1,products!$A$1:$G$1,0))</f>
        <v>12.15</v>
      </c>
      <c r="M366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_xlfn.XLOOKUP(C366,customers!$A$2:$A$1001,customers!$I$2:$I$1001,,0)</f>
        <v>Yes</v>
      </c>
    </row>
    <row r="367" spans="1:16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_xlfn.XLOOKUP(C367,customers!$A$1:$A$1001,customers!$C$1:$C$1001,,0)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>
        <f>INDEX(products!$A$1:$G$49,MATCH(orders!$D367,products!$A$1:$A$49,0),MATCH(orders!K$1,products!$A$1:$G$1,0))</f>
        <v>0.5</v>
      </c>
      <c r="L367">
        <f>INDEX(products!$A$1:$G$49,MATCH(orders!$D367,products!$A$1:$A$49,0),MATCH(orders!L$1,products!$A$1:$G$1,0))</f>
        <v>7.77</v>
      </c>
      <c r="M367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_xlfn.XLOOKUP(C367,customers!$A$2:$A$1001,customers!$I$2:$I$1001,,0)</f>
        <v>No</v>
      </c>
    </row>
    <row r="368" spans="1:16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>
        <f>_xlfn.XLOOKUP(C368,customers!$A$1:$A$1001,customers!$C$1:$C$1001,,0)</f>
        <v>0</v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>
        <f>INDEX(products!$A$1:$G$49,MATCH(orders!$D368,products!$A$1:$A$49,0),MATCH(orders!K$1,products!$A$1:$G$1,0))</f>
        <v>0.5</v>
      </c>
      <c r="L368">
        <f>INDEX(products!$A$1:$G$49,MATCH(orders!$D368,products!$A$1:$A$49,0),MATCH(orders!L$1,products!$A$1:$G$1,0))</f>
        <v>7.29</v>
      </c>
      <c r="M368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_xlfn.XLOOKUP(C368,customers!$A$2:$A$1001,customers!$I$2:$I$1001,,0)</f>
        <v>No</v>
      </c>
    </row>
    <row r="369" spans="1:16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>
        <f>_xlfn.XLOOKUP(C369,customers!$A$1:$A$1001,customers!$C$1:$C$1001,,0)</f>
        <v>0</v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>
        <f>INDEX(products!$A$1:$G$49,MATCH(orders!$D369,products!$A$1:$A$49,0),MATCH(orders!K$1,products!$A$1:$G$1,0))</f>
        <v>0.2</v>
      </c>
      <c r="L369">
        <f>INDEX(products!$A$1:$G$49,MATCH(orders!$D369,products!$A$1:$A$49,0),MATCH(orders!L$1,products!$A$1:$G$1,0))</f>
        <v>4.3650000000000002</v>
      </c>
      <c r="M369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_xlfn.XLOOKUP(C369,customers!$A$2:$A$1001,customers!$I$2:$I$1001,,0)</f>
        <v>Yes</v>
      </c>
    </row>
    <row r="370" spans="1:16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_xlfn.XLOOKUP(C370,customers!$A$1:$A$1001,customers!$C$1:$C$1001,,0)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>
        <f>INDEX(products!$A$1:$G$49,MATCH(orders!$D370,products!$A$1:$A$49,0),MATCH(orders!K$1,products!$A$1:$G$1,0))</f>
        <v>2.5</v>
      </c>
      <c r="L370">
        <f>INDEX(products!$A$1:$G$49,MATCH(orders!$D370,products!$A$1:$A$49,0),MATCH(orders!L$1,products!$A$1:$G$1,0))</f>
        <v>31.624999999999996</v>
      </c>
      <c r="M370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_xlfn.XLOOKUP(C370,customers!$A$2:$A$1001,customers!$I$2:$I$1001,,0)</f>
        <v>No</v>
      </c>
    </row>
    <row r="371" spans="1:16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>
        <f>_xlfn.XLOOKUP(C371,customers!$A$1:$A$1001,customers!$C$1:$C$1001,,0)</f>
        <v>0</v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>
        <f>INDEX(products!$A$1:$G$49,MATCH(orders!$D371,products!$A$1:$A$49,0),MATCH(orders!K$1,products!$A$1:$G$1,0))</f>
        <v>0.5</v>
      </c>
      <c r="L371">
        <f>INDEX(products!$A$1:$G$49,MATCH(orders!$D371,products!$A$1:$A$49,0),MATCH(orders!L$1,products!$A$1:$G$1,0))</f>
        <v>8.91</v>
      </c>
      <c r="M371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_xlfn.XLOOKUP(C371,customers!$A$2:$A$1001,customers!$I$2:$I$1001,,0)</f>
        <v>Yes</v>
      </c>
    </row>
    <row r="372" spans="1:16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_xlfn.XLOOKUP(C372,customers!$A$1:$A$1001,customers!$C$1:$C$1001,,0)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>
        <f>INDEX(products!$A$1:$G$49,MATCH(orders!$D372,products!$A$1:$A$49,0),MATCH(orders!K$1,products!$A$1:$G$1,0))</f>
        <v>1</v>
      </c>
      <c r="L372">
        <f>INDEX(products!$A$1:$G$49,MATCH(orders!$D372,products!$A$1:$A$49,0),MATCH(orders!L$1,products!$A$1:$G$1,0))</f>
        <v>12.15</v>
      </c>
      <c r="M372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_xlfn.XLOOKUP(C372,customers!$A$2:$A$1001,customers!$I$2:$I$1001,,0)</f>
        <v>Yes</v>
      </c>
    </row>
    <row r="373" spans="1:16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_xlfn.XLOOKUP(C373,customers!$A$1:$A$1001,customers!$C$1:$C$1001,,0)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>
        <f>INDEX(products!$A$1:$G$49,MATCH(orders!$D373,products!$A$1:$A$49,0),MATCH(orders!K$1,products!$A$1:$G$1,0))</f>
        <v>0.5</v>
      </c>
      <c r="L373">
        <f>INDEX(products!$A$1:$G$49,MATCH(orders!$D373,products!$A$1:$A$49,0),MATCH(orders!L$1,products!$A$1:$G$1,0))</f>
        <v>7.77</v>
      </c>
      <c r="M373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_xlfn.XLOOKUP(C373,customers!$A$2:$A$1001,customers!$I$2:$I$1001,,0)</f>
        <v>Yes</v>
      </c>
    </row>
    <row r="374" spans="1:16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_xlfn.XLOOKUP(C374,customers!$A$1:$A$1001,customers!$C$1:$C$1001,,0)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>
        <f>INDEX(products!$A$1:$G$49,MATCH(orders!$D374,products!$A$1:$A$49,0),MATCH(orders!K$1,products!$A$1:$G$1,0))</f>
        <v>0.5</v>
      </c>
      <c r="L374">
        <f>INDEX(products!$A$1:$G$49,MATCH(orders!$D374,products!$A$1:$A$49,0),MATCH(orders!L$1,products!$A$1:$G$1,0))</f>
        <v>7.169999999999999</v>
      </c>
      <c r="M374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_xlfn.XLOOKUP(C374,customers!$A$2:$A$1001,customers!$I$2:$I$1001,,0)</f>
        <v>No</v>
      </c>
    </row>
    <row r="375" spans="1:16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>
        <f>_xlfn.XLOOKUP(C375,customers!$A$1:$A$1001,customers!$C$1:$C$1001,,0)</f>
        <v>0</v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>
        <f>INDEX(products!$A$1:$G$49,MATCH(orders!$D375,products!$A$1:$A$49,0),MATCH(orders!K$1,products!$A$1:$G$1,0))</f>
        <v>0.5</v>
      </c>
      <c r="L375">
        <f>INDEX(products!$A$1:$G$49,MATCH(orders!$D375,products!$A$1:$A$49,0),MATCH(orders!L$1,products!$A$1:$G$1,0))</f>
        <v>5.97</v>
      </c>
      <c r="M37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_xlfn.XLOOKUP(C375,customers!$A$2:$A$1001,customers!$I$2:$I$1001,,0)</f>
        <v>Yes</v>
      </c>
    </row>
    <row r="376" spans="1:16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_xlfn.XLOOKUP(C376,customers!$A$1:$A$1001,customers!$C$1:$C$1001,,0)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>
        <f>INDEX(products!$A$1:$G$49,MATCH(orders!$D376,products!$A$1:$A$49,0),MATCH(orders!K$1,products!$A$1:$G$1,0))</f>
        <v>0.5</v>
      </c>
      <c r="L376">
        <f>INDEX(products!$A$1:$G$49,MATCH(orders!$D376,products!$A$1:$A$49,0),MATCH(orders!L$1,products!$A$1:$G$1,0))</f>
        <v>9.51</v>
      </c>
      <c r="M376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_xlfn.XLOOKUP(C376,customers!$A$2:$A$1001,customers!$I$2:$I$1001,,0)</f>
        <v>Yes</v>
      </c>
    </row>
    <row r="377" spans="1:16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_xlfn.XLOOKUP(C377,customers!$A$1:$A$1001,customers!$C$1:$C$1001,,0)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>
        <f>INDEX(products!$A$1:$G$49,MATCH(orders!$D377,products!$A$1:$A$49,0),MATCH(orders!K$1,products!$A$1:$G$1,0))</f>
        <v>0.2</v>
      </c>
      <c r="L377">
        <f>INDEX(products!$A$1:$G$49,MATCH(orders!$D377,products!$A$1:$A$49,0),MATCH(orders!L$1,products!$A$1:$G$1,0))</f>
        <v>3.375</v>
      </c>
      <c r="M377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_xlfn.XLOOKUP(C377,customers!$A$2:$A$1001,customers!$I$2:$I$1001,,0)</f>
        <v>Yes</v>
      </c>
    </row>
    <row r="378" spans="1:16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_xlfn.XLOOKUP(C378,customers!$A$1:$A$1001,customers!$C$1:$C$1001,,0)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>
        <f>INDEX(products!$A$1:$G$49,MATCH(orders!$D378,products!$A$1:$A$49,0),MATCH(orders!K$1,products!$A$1:$G$1,0))</f>
        <v>0.5</v>
      </c>
      <c r="L378">
        <f>INDEX(products!$A$1:$G$49,MATCH(orders!$D378,products!$A$1:$A$49,0),MATCH(orders!L$1,products!$A$1:$G$1,0))</f>
        <v>5.97</v>
      </c>
      <c r="M378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_xlfn.XLOOKUP(C378,customers!$A$2:$A$1001,customers!$I$2:$I$1001,,0)</f>
        <v>Yes</v>
      </c>
    </row>
    <row r="379" spans="1:16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_xlfn.XLOOKUP(C379,customers!$A$1:$A$1001,customers!$C$1:$C$1001,,0)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>
        <f>INDEX(products!$A$1:$G$49,MATCH(orders!$D379,products!$A$1:$A$49,0),MATCH(orders!K$1,products!$A$1:$G$1,0))</f>
        <v>0.2</v>
      </c>
      <c r="L379">
        <f>INDEX(products!$A$1:$G$49,MATCH(orders!$D379,products!$A$1:$A$49,0),MATCH(orders!L$1,products!$A$1:$G$1,0))</f>
        <v>2.6849999999999996</v>
      </c>
      <c r="M379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_xlfn.XLOOKUP(C379,customers!$A$2:$A$1001,customers!$I$2:$I$1001,,0)</f>
        <v>No</v>
      </c>
    </row>
    <row r="380" spans="1:16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_xlfn.XLOOKUP(C380,customers!$A$1:$A$1001,customers!$C$1:$C$1001,,0)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>
        <f>INDEX(products!$A$1:$G$49,MATCH(orders!$D380,products!$A$1:$A$49,0),MATCH(orders!K$1,products!$A$1:$G$1,0))</f>
        <v>0.5</v>
      </c>
      <c r="L380">
        <f>INDEX(products!$A$1:$G$49,MATCH(orders!$D380,products!$A$1:$A$49,0),MATCH(orders!L$1,products!$A$1:$G$1,0))</f>
        <v>7.77</v>
      </c>
      <c r="M380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_xlfn.XLOOKUP(C380,customers!$A$2:$A$1001,customers!$I$2:$I$1001,,0)</f>
        <v>Yes</v>
      </c>
    </row>
    <row r="381" spans="1:16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_xlfn.XLOOKUP(C381,customers!$A$1:$A$1001,customers!$C$1:$C$1001,,0)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>
        <f>INDEX(products!$A$1:$G$49,MATCH(orders!$D381,products!$A$1:$A$49,0),MATCH(orders!K$1,products!$A$1:$G$1,0))</f>
        <v>0.5</v>
      </c>
      <c r="L381">
        <f>INDEX(products!$A$1:$G$49,MATCH(orders!$D381,products!$A$1:$A$49,0),MATCH(orders!L$1,products!$A$1:$G$1,0))</f>
        <v>7.169999999999999</v>
      </c>
      <c r="M381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_xlfn.XLOOKUP(C381,customers!$A$2:$A$1001,customers!$I$2:$I$1001,,0)</f>
        <v>Yes</v>
      </c>
    </row>
    <row r="382" spans="1:16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>
        <f>_xlfn.XLOOKUP(C382,customers!$A$1:$A$1001,customers!$C$1:$C$1001,,0)</f>
        <v>0</v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>
        <f>INDEX(products!$A$1:$G$49,MATCH(orders!$D382,products!$A$1:$A$49,0),MATCH(orders!K$1,products!$A$1:$G$1,0))</f>
        <v>0.5</v>
      </c>
      <c r="L382">
        <f>INDEX(products!$A$1:$G$49,MATCH(orders!$D382,products!$A$1:$A$49,0),MATCH(orders!L$1,products!$A$1:$G$1,0))</f>
        <v>7.77</v>
      </c>
      <c r="M382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_xlfn.XLOOKUP(C382,customers!$A$2:$A$1001,customers!$I$2:$I$1001,,0)</f>
        <v>No</v>
      </c>
    </row>
    <row r="383" spans="1:16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_xlfn.XLOOKUP(C383,customers!$A$1:$A$1001,customers!$C$1:$C$1001,,0)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>
        <f>INDEX(products!$A$1:$G$49,MATCH(orders!$D383,products!$A$1:$A$49,0),MATCH(orders!K$1,products!$A$1:$G$1,0))</f>
        <v>0.2</v>
      </c>
      <c r="L383">
        <f>INDEX(products!$A$1:$G$49,MATCH(orders!$D383,products!$A$1:$A$49,0),MATCH(orders!L$1,products!$A$1:$G$1,0))</f>
        <v>2.9849999999999999</v>
      </c>
      <c r="M383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_xlfn.XLOOKUP(C383,customers!$A$2:$A$1001,customers!$I$2:$I$1001,,0)</f>
        <v>Yes</v>
      </c>
    </row>
    <row r="384" spans="1:16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_xlfn.XLOOKUP(C384,customers!$A$1:$A$1001,customers!$C$1:$C$1001,,0)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>
        <f>INDEX(products!$A$1:$G$49,MATCH(orders!$D384,products!$A$1:$A$49,0),MATCH(orders!K$1,products!$A$1:$G$1,0))</f>
        <v>0.5</v>
      </c>
      <c r="L384">
        <f>INDEX(products!$A$1:$G$49,MATCH(orders!$D384,products!$A$1:$A$49,0),MATCH(orders!L$1,products!$A$1:$G$1,0))</f>
        <v>7.29</v>
      </c>
      <c r="M384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_xlfn.XLOOKUP(C384,customers!$A$2:$A$1001,customers!$I$2:$I$1001,,0)</f>
        <v>No</v>
      </c>
    </row>
    <row r="385" spans="1:16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>
        <f>_xlfn.XLOOKUP(C385,customers!$A$1:$A$1001,customers!$C$1:$C$1001,,0)</f>
        <v>0</v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>
        <f>INDEX(products!$A$1:$G$49,MATCH(orders!$D385,products!$A$1:$A$49,0),MATCH(orders!K$1,products!$A$1:$G$1,0))</f>
        <v>0.5</v>
      </c>
      <c r="L385">
        <f>INDEX(products!$A$1:$G$49,MATCH(orders!$D385,products!$A$1:$A$49,0),MATCH(orders!L$1,products!$A$1:$G$1,0))</f>
        <v>8.91</v>
      </c>
      <c r="M38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_xlfn.XLOOKUP(C385,customers!$A$2:$A$1001,customers!$I$2:$I$1001,,0)</f>
        <v>Yes</v>
      </c>
    </row>
    <row r="386" spans="1:16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>
        <f>_xlfn.XLOOKUP(C386,customers!$A$1:$A$1001,customers!$C$1:$C$1001,,0)</f>
        <v>0</v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>
        <f>INDEX(products!$A$1:$G$49,MATCH(orders!$D386,products!$A$1:$A$49,0),MATCH(orders!K$1,products!$A$1:$G$1,0))</f>
        <v>2.5</v>
      </c>
      <c r="L386">
        <f>INDEX(products!$A$1:$G$49,MATCH(orders!$D386,products!$A$1:$A$49,0),MATCH(orders!L$1,products!$A$1:$G$1,0))</f>
        <v>29.784999999999997</v>
      </c>
      <c r="M386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_xlfn.XLOOKUP(C386,customers!$A$2:$A$1001,customers!$I$2:$I$1001,,0)</f>
        <v>No</v>
      </c>
    </row>
    <row r="387" spans="1:16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_xlfn.XLOOKUP(C387,customers!$A$1:$A$1001,customers!$C$1:$C$1001,,0)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>
        <f>INDEX(products!$A$1:$G$49,MATCH(orders!$D387,products!$A$1:$A$49,0),MATCH(orders!K$1,products!$A$1:$G$1,0))</f>
        <v>0.5</v>
      </c>
      <c r="L387">
        <f>INDEX(products!$A$1:$G$49,MATCH(orders!$D387,products!$A$1:$A$49,0),MATCH(orders!L$1,products!$A$1:$G$1,0))</f>
        <v>8.73</v>
      </c>
      <c r="M387">
        <f t="shared" ref="M387:M450" si="18">L387*E387</f>
        <v>43.650000000000006</v>
      </c>
      <c r="N387" t="str">
        <f t="shared" ref="N387:N450" si="19">IF(I387="Rob","Robusta",IF(I387="Exc","Excelsa",IF(I387="Lib","Liberica",IF(I387="Ara","Arabica"))))</f>
        <v>Liberica</v>
      </c>
      <c r="O387" t="str">
        <f t="shared" si="17"/>
        <v>Medium</v>
      </c>
      <c r="P387" t="str">
        <f>_xlfn.XLOOKUP(C387,customers!$A$2:$A$1001,customers!$I$2:$I$1001,,0)</f>
        <v>Yes</v>
      </c>
    </row>
    <row r="388" spans="1:16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>
        <f>_xlfn.XLOOKUP(C388,customers!$A$1:$A$1001,customers!$C$1:$C$1001,,0)</f>
        <v>0</v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>
        <f>INDEX(products!$A$1:$G$49,MATCH(orders!$D388,products!$A$1:$A$49,0),MATCH(orders!K$1,products!$A$1:$G$1,0))</f>
        <v>0.2</v>
      </c>
      <c r="L388">
        <f>INDEX(products!$A$1:$G$49,MATCH(orders!$D388,products!$A$1:$A$49,0),MATCH(orders!L$1,products!$A$1:$G$1,0))</f>
        <v>2.9849999999999999</v>
      </c>
      <c r="M388">
        <f t="shared" si="18"/>
        <v>17.91</v>
      </c>
      <c r="N388" t="str">
        <f t="shared" si="19"/>
        <v>Arabica</v>
      </c>
      <c r="O388" t="str">
        <f t="shared" si="17"/>
        <v>Dark</v>
      </c>
      <c r="P388" t="str">
        <f>_xlfn.XLOOKUP(C388,customers!$A$2:$A$1001,customers!$I$2:$I$1001,,0)</f>
        <v>Yes</v>
      </c>
    </row>
    <row r="389" spans="1:16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_xlfn.XLOOKUP(C389,customers!$A$1:$A$1001,customers!$C$1:$C$1001,,0)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>
        <f>INDEX(products!$A$1:$G$49,MATCH(orders!$D389,products!$A$1:$A$49,0),MATCH(orders!K$1,products!$A$1:$G$1,0))</f>
        <v>1</v>
      </c>
      <c r="L389">
        <f>INDEX(products!$A$1:$G$49,MATCH(orders!$D389,products!$A$1:$A$49,0),MATCH(orders!L$1,products!$A$1:$G$1,0))</f>
        <v>14.85</v>
      </c>
      <c r="M389">
        <f t="shared" si="18"/>
        <v>74.25</v>
      </c>
      <c r="N389" t="str">
        <f t="shared" si="19"/>
        <v>Excelsa</v>
      </c>
      <c r="O389" t="str">
        <f t="shared" ref="O389:O452" si="20">IF(J389="L","Light",IF(J389="M","Medium",IF(J389="D","Dark")))</f>
        <v>Light</v>
      </c>
      <c r="P389" t="str">
        <f>_xlfn.XLOOKUP(C389,customers!$A$2:$A$1001,customers!$I$2:$I$1001,,0)</f>
        <v>Yes</v>
      </c>
    </row>
    <row r="390" spans="1:16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_xlfn.XLOOKUP(C390,customers!$A$1:$A$1001,customers!$C$1:$C$1001,,0)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>
        <f>INDEX(products!$A$1:$G$49,MATCH(orders!$D390,products!$A$1:$A$49,0),MATCH(orders!K$1,products!$A$1:$G$1,0))</f>
        <v>0.2</v>
      </c>
      <c r="L390">
        <f>INDEX(products!$A$1:$G$49,MATCH(orders!$D390,products!$A$1:$A$49,0),MATCH(orders!L$1,products!$A$1:$G$1,0))</f>
        <v>3.8849999999999998</v>
      </c>
      <c r="M390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_xlfn.XLOOKUP(C390,customers!$A$2:$A$1001,customers!$I$2:$I$1001,,0)</f>
        <v>Yes</v>
      </c>
    </row>
    <row r="391" spans="1:16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_xlfn.XLOOKUP(C391,customers!$A$1:$A$1001,customers!$C$1:$C$1001,,0)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>
        <f>INDEX(products!$A$1:$G$49,MATCH(orders!$D391,products!$A$1:$A$49,0),MATCH(orders!K$1,products!$A$1:$G$1,0))</f>
        <v>0.5</v>
      </c>
      <c r="L391">
        <f>INDEX(products!$A$1:$G$49,MATCH(orders!$D391,products!$A$1:$A$49,0),MATCH(orders!L$1,products!$A$1:$G$1,0))</f>
        <v>7.77</v>
      </c>
      <c r="M391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_xlfn.XLOOKUP(C391,customers!$A$2:$A$1001,customers!$I$2:$I$1001,,0)</f>
        <v>Yes</v>
      </c>
    </row>
    <row r="392" spans="1:16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_xlfn.XLOOKUP(C392,customers!$A$1:$A$1001,customers!$C$1:$C$1001,,0)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>
        <f>INDEX(products!$A$1:$G$49,MATCH(orders!$D392,products!$A$1:$A$49,0),MATCH(orders!K$1,products!$A$1:$G$1,0))</f>
        <v>0.5</v>
      </c>
      <c r="L392">
        <f>INDEX(products!$A$1:$G$49,MATCH(orders!$D392,products!$A$1:$A$49,0),MATCH(orders!L$1,products!$A$1:$G$1,0))</f>
        <v>7.29</v>
      </c>
      <c r="M392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_xlfn.XLOOKUP(C392,customers!$A$2:$A$1001,customers!$I$2:$I$1001,,0)</f>
        <v>Yes</v>
      </c>
    </row>
    <row r="393" spans="1:16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_xlfn.XLOOKUP(C393,customers!$A$1:$A$1001,customers!$C$1:$C$1001,,0)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>
        <f>INDEX(products!$A$1:$G$49,MATCH(orders!$D393,products!$A$1:$A$49,0),MATCH(orders!K$1,products!$A$1:$G$1,0))</f>
        <v>0.5</v>
      </c>
      <c r="L393">
        <f>INDEX(products!$A$1:$G$49,MATCH(orders!$D393,products!$A$1:$A$49,0),MATCH(orders!L$1,products!$A$1:$G$1,0))</f>
        <v>6.75</v>
      </c>
      <c r="M393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_xlfn.XLOOKUP(C393,customers!$A$2:$A$1001,customers!$I$2:$I$1001,,0)</f>
        <v>No</v>
      </c>
    </row>
    <row r="394" spans="1:16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_xlfn.XLOOKUP(C394,customers!$A$1:$A$1001,customers!$C$1:$C$1001,,0)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>
        <f>INDEX(products!$A$1:$G$49,MATCH(orders!$D394,products!$A$1:$A$49,0),MATCH(orders!K$1,products!$A$1:$G$1,0))</f>
        <v>1</v>
      </c>
      <c r="L394">
        <f>INDEX(products!$A$1:$G$49,MATCH(orders!$D394,products!$A$1:$A$49,0),MATCH(orders!L$1,products!$A$1:$G$1,0))</f>
        <v>14.85</v>
      </c>
      <c r="M394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_xlfn.XLOOKUP(C394,customers!$A$2:$A$1001,customers!$I$2:$I$1001,,0)</f>
        <v>No</v>
      </c>
    </row>
    <row r="395" spans="1:16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_xlfn.XLOOKUP(C395,customers!$A$1:$A$1001,customers!$C$1:$C$1001,,0)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>
        <f>INDEX(products!$A$1:$G$49,MATCH(orders!$D395,products!$A$1:$A$49,0),MATCH(orders!K$1,products!$A$1:$G$1,0))</f>
        <v>0.2</v>
      </c>
      <c r="L395">
        <f>INDEX(products!$A$1:$G$49,MATCH(orders!$D395,products!$A$1:$A$49,0),MATCH(orders!L$1,products!$A$1:$G$1,0))</f>
        <v>3.8849999999999998</v>
      </c>
      <c r="M39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_xlfn.XLOOKUP(C395,customers!$A$2:$A$1001,customers!$I$2:$I$1001,,0)</f>
        <v>No</v>
      </c>
    </row>
    <row r="396" spans="1:16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_xlfn.XLOOKUP(C396,customers!$A$1:$A$1001,customers!$C$1:$C$1001,,0)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>
        <f>INDEX(products!$A$1:$G$49,MATCH(orders!$D396,products!$A$1:$A$49,0),MATCH(orders!K$1,products!$A$1:$G$1,0))</f>
        <v>2.5</v>
      </c>
      <c r="L396">
        <f>INDEX(products!$A$1:$G$49,MATCH(orders!$D396,products!$A$1:$A$49,0),MATCH(orders!L$1,products!$A$1:$G$1,0))</f>
        <v>27.484999999999996</v>
      </c>
      <c r="M396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_xlfn.XLOOKUP(C396,customers!$A$2:$A$1001,customers!$I$2:$I$1001,,0)</f>
        <v>No</v>
      </c>
    </row>
    <row r="397" spans="1:16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_xlfn.XLOOKUP(C397,customers!$A$1:$A$1001,customers!$C$1:$C$1001,,0)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>
        <f>INDEX(products!$A$1:$G$49,MATCH(orders!$D397,products!$A$1:$A$49,0),MATCH(orders!K$1,products!$A$1:$G$1,0))</f>
        <v>0.5</v>
      </c>
      <c r="L397">
        <f>INDEX(products!$A$1:$G$49,MATCH(orders!$D397,products!$A$1:$A$49,0),MATCH(orders!L$1,products!$A$1:$G$1,0))</f>
        <v>7.77</v>
      </c>
      <c r="M397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_xlfn.XLOOKUP(C397,customers!$A$2:$A$1001,customers!$I$2:$I$1001,,0)</f>
        <v>Yes</v>
      </c>
    </row>
    <row r="398" spans="1:16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_xlfn.XLOOKUP(C398,customers!$A$1:$A$1001,customers!$C$1:$C$1001,,0)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>
        <f>INDEX(products!$A$1:$G$49,MATCH(orders!$D398,products!$A$1:$A$49,0),MATCH(orders!K$1,products!$A$1:$G$1,0))</f>
        <v>0.5</v>
      </c>
      <c r="L398">
        <f>INDEX(products!$A$1:$G$49,MATCH(orders!$D398,products!$A$1:$A$49,0),MATCH(orders!L$1,products!$A$1:$G$1,0))</f>
        <v>7.77</v>
      </c>
      <c r="M398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_xlfn.XLOOKUP(C398,customers!$A$2:$A$1001,customers!$I$2:$I$1001,,0)</f>
        <v>No</v>
      </c>
    </row>
    <row r="399" spans="1:16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_xlfn.XLOOKUP(C399,customers!$A$1:$A$1001,customers!$C$1:$C$1001,,0)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>
        <f>INDEX(products!$A$1:$G$49,MATCH(orders!$D399,products!$A$1:$A$49,0),MATCH(orders!K$1,products!$A$1:$G$1,0))</f>
        <v>0.5</v>
      </c>
      <c r="L399">
        <f>INDEX(products!$A$1:$G$49,MATCH(orders!$D399,products!$A$1:$A$49,0),MATCH(orders!L$1,products!$A$1:$G$1,0))</f>
        <v>7.77</v>
      </c>
      <c r="M399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_xlfn.XLOOKUP(C399,customers!$A$2:$A$1001,customers!$I$2:$I$1001,,0)</f>
        <v>Yes</v>
      </c>
    </row>
    <row r="400" spans="1:16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_xlfn.XLOOKUP(C400,customers!$A$1:$A$1001,customers!$C$1:$C$1001,,0)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>
        <f>INDEX(products!$A$1:$G$49,MATCH(orders!$D400,products!$A$1:$A$49,0),MATCH(orders!K$1,products!$A$1:$G$1,0))</f>
        <v>0.2</v>
      </c>
      <c r="L400">
        <f>INDEX(products!$A$1:$G$49,MATCH(orders!$D400,products!$A$1:$A$49,0),MATCH(orders!L$1,products!$A$1:$G$1,0))</f>
        <v>2.9849999999999999</v>
      </c>
      <c r="M400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_xlfn.XLOOKUP(C400,customers!$A$2:$A$1001,customers!$I$2:$I$1001,,0)</f>
        <v>Yes</v>
      </c>
    </row>
    <row r="401" spans="1:16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_xlfn.XLOOKUP(C401,customers!$A$1:$A$1001,customers!$C$1:$C$1001,,0)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>
        <f>INDEX(products!$A$1:$G$49,MATCH(orders!$D401,products!$A$1:$A$49,0),MATCH(orders!K$1,products!$A$1:$G$1,0))</f>
        <v>2.5</v>
      </c>
      <c r="L401">
        <f>INDEX(products!$A$1:$G$49,MATCH(orders!$D401,products!$A$1:$A$49,0),MATCH(orders!L$1,products!$A$1:$G$1,0))</f>
        <v>27.945</v>
      </c>
      <c r="M401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_xlfn.XLOOKUP(C401,customers!$A$2:$A$1001,customers!$I$2:$I$1001,,0)</f>
        <v>No</v>
      </c>
    </row>
    <row r="402" spans="1:16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_xlfn.XLOOKUP(C402,customers!$A$1:$A$1001,customers!$C$1:$C$1001,,0)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>
        <f>INDEX(products!$A$1:$G$49,MATCH(orders!$D402,products!$A$1:$A$49,0),MATCH(orders!K$1,products!$A$1:$G$1,0))</f>
        <v>1</v>
      </c>
      <c r="L402">
        <f>INDEX(products!$A$1:$G$49,MATCH(orders!$D402,products!$A$1:$A$49,0),MATCH(orders!L$1,products!$A$1:$G$1,0))</f>
        <v>15.85</v>
      </c>
      <c r="M402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_xlfn.XLOOKUP(C402,customers!$A$2:$A$1001,customers!$I$2:$I$1001,,0)</f>
        <v>No</v>
      </c>
    </row>
    <row r="403" spans="1:16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_xlfn.XLOOKUP(C403,customers!$A$1:$A$1001,customers!$C$1:$C$1001,,0)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>
        <f>INDEX(products!$A$1:$G$49,MATCH(orders!$D403,products!$A$1:$A$49,0),MATCH(orders!K$1,products!$A$1:$G$1,0))</f>
        <v>0.2</v>
      </c>
      <c r="L403">
        <f>INDEX(products!$A$1:$G$49,MATCH(orders!$D403,products!$A$1:$A$49,0),MATCH(orders!L$1,products!$A$1:$G$1,0))</f>
        <v>4.3650000000000002</v>
      </c>
      <c r="M403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_xlfn.XLOOKUP(C403,customers!$A$2:$A$1001,customers!$I$2:$I$1001,,0)</f>
        <v>Yes</v>
      </c>
    </row>
    <row r="404" spans="1:16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_xlfn.XLOOKUP(C404,customers!$A$1:$A$1001,customers!$C$1:$C$1001,,0)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>
        <f>INDEX(products!$A$1:$G$49,MATCH(orders!$D404,products!$A$1:$A$49,0),MATCH(orders!K$1,products!$A$1:$G$1,0))</f>
        <v>1</v>
      </c>
      <c r="L404">
        <f>INDEX(products!$A$1:$G$49,MATCH(orders!$D404,products!$A$1:$A$49,0),MATCH(orders!L$1,products!$A$1:$G$1,0))</f>
        <v>8.9499999999999993</v>
      </c>
      <c r="M404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_xlfn.XLOOKUP(C404,customers!$A$2:$A$1001,customers!$I$2:$I$1001,,0)</f>
        <v>Yes</v>
      </c>
    </row>
    <row r="405" spans="1:16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_xlfn.XLOOKUP(C405,customers!$A$1:$A$1001,customers!$C$1:$C$1001,,0)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>
        <f>INDEX(products!$A$1:$G$49,MATCH(orders!$D405,products!$A$1:$A$49,0),MATCH(orders!K$1,products!$A$1:$G$1,0))</f>
        <v>0.2</v>
      </c>
      <c r="L405">
        <f>INDEX(products!$A$1:$G$49,MATCH(orders!$D405,products!$A$1:$A$49,0),MATCH(orders!L$1,products!$A$1:$G$1,0))</f>
        <v>4.7549999999999999</v>
      </c>
      <c r="M40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_xlfn.XLOOKUP(C405,customers!$A$2:$A$1001,customers!$I$2:$I$1001,,0)</f>
        <v>No</v>
      </c>
    </row>
    <row r="406" spans="1:16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_xlfn.XLOOKUP(C406,customers!$A$1:$A$1001,customers!$C$1:$C$1001,,0)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>
        <f>INDEX(products!$A$1:$G$49,MATCH(orders!$D406,products!$A$1:$A$49,0),MATCH(orders!K$1,products!$A$1:$G$1,0))</f>
        <v>1</v>
      </c>
      <c r="L406">
        <f>INDEX(products!$A$1:$G$49,MATCH(orders!$D406,products!$A$1:$A$49,0),MATCH(orders!L$1,products!$A$1:$G$1,0))</f>
        <v>9.9499999999999993</v>
      </c>
      <c r="M406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_xlfn.XLOOKUP(C406,customers!$A$2:$A$1001,customers!$I$2:$I$1001,,0)</f>
        <v>No</v>
      </c>
    </row>
    <row r="407" spans="1:16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_xlfn.XLOOKUP(C407,customers!$A$1:$A$1001,customers!$C$1:$C$1001,,0)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>
        <f>INDEX(products!$A$1:$G$49,MATCH(orders!$D407,products!$A$1:$A$49,0),MATCH(orders!K$1,products!$A$1:$G$1,0))</f>
        <v>0.5</v>
      </c>
      <c r="L407">
        <f>INDEX(products!$A$1:$G$49,MATCH(orders!$D407,products!$A$1:$A$49,0),MATCH(orders!L$1,products!$A$1:$G$1,0))</f>
        <v>8.25</v>
      </c>
      <c r="M407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_xlfn.XLOOKUP(C407,customers!$A$2:$A$1001,customers!$I$2:$I$1001,,0)</f>
        <v>Yes</v>
      </c>
    </row>
    <row r="408" spans="1:16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_xlfn.XLOOKUP(C408,customers!$A$1:$A$1001,customers!$C$1:$C$1001,,0)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>
        <f>INDEX(products!$A$1:$G$49,MATCH(orders!$D408,products!$A$1:$A$49,0),MATCH(orders!K$1,products!$A$1:$G$1,0))</f>
        <v>1</v>
      </c>
      <c r="L408">
        <f>INDEX(products!$A$1:$G$49,MATCH(orders!$D408,products!$A$1:$A$49,0),MATCH(orders!L$1,products!$A$1:$G$1,0))</f>
        <v>13.75</v>
      </c>
      <c r="M408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_xlfn.XLOOKUP(C408,customers!$A$2:$A$1001,customers!$I$2:$I$1001,,0)</f>
        <v>Yes</v>
      </c>
    </row>
    <row r="409" spans="1:16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>
        <f>_xlfn.XLOOKUP(C409,customers!$A$1:$A$1001,customers!$C$1:$C$1001,,0)</f>
        <v>0</v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>
        <f>INDEX(products!$A$1:$G$49,MATCH(orders!$D409,products!$A$1:$A$49,0),MATCH(orders!K$1,products!$A$1:$G$1,0))</f>
        <v>0.5</v>
      </c>
      <c r="L409">
        <f>INDEX(products!$A$1:$G$49,MATCH(orders!$D409,products!$A$1:$A$49,0),MATCH(orders!L$1,products!$A$1:$G$1,0))</f>
        <v>8.25</v>
      </c>
      <c r="M409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_xlfn.XLOOKUP(C409,customers!$A$2:$A$1001,customers!$I$2:$I$1001,,0)</f>
        <v>No</v>
      </c>
    </row>
    <row r="410" spans="1:16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_xlfn.XLOOKUP(C410,customers!$A$1:$A$1001,customers!$C$1:$C$1001,,0)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>
        <f>INDEX(products!$A$1:$G$49,MATCH(orders!$D410,products!$A$1:$A$49,0),MATCH(orders!K$1,products!$A$1:$G$1,0))</f>
        <v>2.5</v>
      </c>
      <c r="L410">
        <f>INDEX(products!$A$1:$G$49,MATCH(orders!$D410,products!$A$1:$A$49,0),MATCH(orders!L$1,products!$A$1:$G$1,0))</f>
        <v>25.874999999999996</v>
      </c>
      <c r="M410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_xlfn.XLOOKUP(C410,customers!$A$2:$A$1001,customers!$I$2:$I$1001,,0)</f>
        <v>Yes</v>
      </c>
    </row>
    <row r="411" spans="1:16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>
        <f>_xlfn.XLOOKUP(C411,customers!$A$1:$A$1001,customers!$C$1:$C$1001,,0)</f>
        <v>0</v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>
        <f>INDEX(products!$A$1:$G$49,MATCH(orders!$D411,products!$A$1:$A$49,0),MATCH(orders!K$1,products!$A$1:$G$1,0))</f>
        <v>1</v>
      </c>
      <c r="L411">
        <f>INDEX(products!$A$1:$G$49,MATCH(orders!$D411,products!$A$1:$A$49,0),MATCH(orders!L$1,products!$A$1:$G$1,0))</f>
        <v>15.85</v>
      </c>
      <c r="M411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_xlfn.XLOOKUP(C411,customers!$A$2:$A$1001,customers!$I$2:$I$1001,,0)</f>
        <v>Yes</v>
      </c>
    </row>
    <row r="412" spans="1:16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>
        <f>_xlfn.XLOOKUP(C412,customers!$A$1:$A$1001,customers!$C$1:$C$1001,,0)</f>
        <v>0</v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>
        <f>INDEX(products!$A$1:$G$49,MATCH(orders!$D412,products!$A$1:$A$49,0),MATCH(orders!K$1,products!$A$1:$G$1,0))</f>
        <v>0.2</v>
      </c>
      <c r="L412">
        <f>INDEX(products!$A$1:$G$49,MATCH(orders!$D412,products!$A$1:$A$49,0),MATCH(orders!L$1,products!$A$1:$G$1,0))</f>
        <v>3.8849999999999998</v>
      </c>
      <c r="M412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_xlfn.XLOOKUP(C412,customers!$A$2:$A$1001,customers!$I$2:$I$1001,,0)</f>
        <v>No</v>
      </c>
    </row>
    <row r="413" spans="1:16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>
        <f>_xlfn.XLOOKUP(C413,customers!$A$1:$A$1001,customers!$C$1:$C$1001,,0)</f>
        <v>0</v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>
        <f>INDEX(products!$A$1:$G$49,MATCH(orders!$D413,products!$A$1:$A$49,0),MATCH(orders!K$1,products!$A$1:$G$1,0))</f>
        <v>1</v>
      </c>
      <c r="L413">
        <f>INDEX(products!$A$1:$G$49,MATCH(orders!$D413,products!$A$1:$A$49,0),MATCH(orders!L$1,products!$A$1:$G$1,0))</f>
        <v>14.55</v>
      </c>
      <c r="M413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_xlfn.XLOOKUP(C413,customers!$A$2:$A$1001,customers!$I$2:$I$1001,,0)</f>
        <v>Yes</v>
      </c>
    </row>
    <row r="414" spans="1:16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>
        <f>_xlfn.XLOOKUP(C414,customers!$A$1:$A$1001,customers!$C$1:$C$1001,,0)</f>
        <v>0</v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>
        <f>INDEX(products!$A$1:$G$49,MATCH(orders!$D414,products!$A$1:$A$49,0),MATCH(orders!K$1,products!$A$1:$G$1,0))</f>
        <v>1</v>
      </c>
      <c r="L414">
        <f>INDEX(products!$A$1:$G$49,MATCH(orders!$D414,products!$A$1:$A$49,0),MATCH(orders!L$1,products!$A$1:$G$1,0))</f>
        <v>11.25</v>
      </c>
      <c r="M414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_xlfn.XLOOKUP(C414,customers!$A$2:$A$1001,customers!$I$2:$I$1001,,0)</f>
        <v>Yes</v>
      </c>
    </row>
    <row r="415" spans="1:16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_xlfn.XLOOKUP(C415,customers!$A$1:$A$1001,customers!$C$1:$C$1001,,0)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>
        <f>INDEX(products!$A$1:$G$49,MATCH(orders!$D415,products!$A$1:$A$49,0),MATCH(orders!K$1,products!$A$1:$G$1,0))</f>
        <v>2.5</v>
      </c>
      <c r="L415">
        <f>INDEX(products!$A$1:$G$49,MATCH(orders!$D415,products!$A$1:$A$49,0),MATCH(orders!L$1,products!$A$1:$G$1,0))</f>
        <v>36.454999999999998</v>
      </c>
      <c r="M41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_xlfn.XLOOKUP(C415,customers!$A$2:$A$1001,customers!$I$2:$I$1001,,0)</f>
        <v>Yes</v>
      </c>
    </row>
    <row r="416" spans="1:16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>
        <f>_xlfn.XLOOKUP(C416,customers!$A$1:$A$1001,customers!$C$1:$C$1001,,0)</f>
        <v>0</v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>
        <f>INDEX(products!$A$1:$G$49,MATCH(orders!$D416,products!$A$1:$A$49,0),MATCH(orders!K$1,products!$A$1:$G$1,0))</f>
        <v>0.2</v>
      </c>
      <c r="L416">
        <f>INDEX(products!$A$1:$G$49,MATCH(orders!$D416,products!$A$1:$A$49,0),MATCH(orders!L$1,products!$A$1:$G$1,0))</f>
        <v>3.5849999999999995</v>
      </c>
      <c r="M416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_xlfn.XLOOKUP(C416,customers!$A$2:$A$1001,customers!$I$2:$I$1001,,0)</f>
        <v>Yes</v>
      </c>
    </row>
    <row r="417" spans="1:16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_xlfn.XLOOKUP(C417,customers!$A$1:$A$1001,customers!$C$1:$C$1001,,0)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>
        <f>INDEX(products!$A$1:$G$49,MATCH(orders!$D417,products!$A$1:$A$49,0),MATCH(orders!K$1,products!$A$1:$G$1,0))</f>
        <v>0.2</v>
      </c>
      <c r="L417">
        <f>INDEX(products!$A$1:$G$49,MATCH(orders!$D417,products!$A$1:$A$49,0),MATCH(orders!L$1,products!$A$1:$G$1,0))</f>
        <v>2.9849999999999999</v>
      </c>
      <c r="M417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_xlfn.XLOOKUP(C417,customers!$A$2:$A$1001,customers!$I$2:$I$1001,,0)</f>
        <v>No</v>
      </c>
    </row>
    <row r="418" spans="1:16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>
        <f>_xlfn.XLOOKUP(C418,customers!$A$1:$A$1001,customers!$C$1:$C$1001,,0)</f>
        <v>0</v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>
        <f>INDEX(products!$A$1:$G$49,MATCH(orders!$D418,products!$A$1:$A$49,0),MATCH(orders!K$1,products!$A$1:$G$1,0))</f>
        <v>0.5</v>
      </c>
      <c r="L418">
        <f>INDEX(products!$A$1:$G$49,MATCH(orders!$D418,products!$A$1:$A$49,0),MATCH(orders!L$1,products!$A$1:$G$1,0))</f>
        <v>7.77</v>
      </c>
      <c r="M418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_xlfn.XLOOKUP(C418,customers!$A$2:$A$1001,customers!$I$2:$I$1001,,0)</f>
        <v>Yes</v>
      </c>
    </row>
    <row r="419" spans="1:16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>
        <f>_xlfn.XLOOKUP(C419,customers!$A$1:$A$1001,customers!$C$1:$C$1001,,0)</f>
        <v>0</v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>
        <f>INDEX(products!$A$1:$G$49,MATCH(orders!$D419,products!$A$1:$A$49,0),MATCH(orders!K$1,products!$A$1:$G$1,0))</f>
        <v>2.5</v>
      </c>
      <c r="L419">
        <f>INDEX(products!$A$1:$G$49,MATCH(orders!$D419,products!$A$1:$A$49,0),MATCH(orders!L$1,products!$A$1:$G$1,0))</f>
        <v>29.784999999999997</v>
      </c>
      <c r="M419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_xlfn.XLOOKUP(C419,customers!$A$2:$A$1001,customers!$I$2:$I$1001,,0)</f>
        <v>Yes</v>
      </c>
    </row>
    <row r="420" spans="1:16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_xlfn.XLOOKUP(C420,customers!$A$1:$A$1001,customers!$C$1:$C$1001,,0)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>
        <f>INDEX(products!$A$1:$G$49,MATCH(orders!$D420,products!$A$1:$A$49,0),MATCH(orders!K$1,products!$A$1:$G$1,0))</f>
        <v>2.5</v>
      </c>
      <c r="L420">
        <f>INDEX(products!$A$1:$G$49,MATCH(orders!$D420,products!$A$1:$A$49,0),MATCH(orders!L$1,products!$A$1:$G$1,0))</f>
        <v>29.784999999999997</v>
      </c>
      <c r="M420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_xlfn.XLOOKUP(C420,customers!$A$2:$A$1001,customers!$I$2:$I$1001,,0)</f>
        <v>Yes</v>
      </c>
    </row>
    <row r="421" spans="1:16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_xlfn.XLOOKUP(C421,customers!$A$1:$A$1001,customers!$C$1:$C$1001,,0)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>
        <f>INDEX(products!$A$1:$G$49,MATCH(orders!$D421,products!$A$1:$A$49,0),MATCH(orders!K$1,products!$A$1:$G$1,0))</f>
        <v>0.5</v>
      </c>
      <c r="L421">
        <f>INDEX(products!$A$1:$G$49,MATCH(orders!$D421,products!$A$1:$A$49,0),MATCH(orders!L$1,products!$A$1:$G$1,0))</f>
        <v>8.73</v>
      </c>
      <c r="M421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_xlfn.XLOOKUP(C421,customers!$A$2:$A$1001,customers!$I$2:$I$1001,,0)</f>
        <v>Yes</v>
      </c>
    </row>
    <row r="422" spans="1:16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_xlfn.XLOOKUP(C422,customers!$A$1:$A$1001,customers!$C$1:$C$1001,,0)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>
        <f>INDEX(products!$A$1:$G$49,MATCH(orders!$D422,products!$A$1:$A$49,0),MATCH(orders!K$1,products!$A$1:$G$1,0))</f>
        <v>0.5</v>
      </c>
      <c r="L422">
        <f>INDEX(products!$A$1:$G$49,MATCH(orders!$D422,products!$A$1:$A$49,0),MATCH(orders!L$1,products!$A$1:$G$1,0))</f>
        <v>7.77</v>
      </c>
      <c r="M422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_xlfn.XLOOKUP(C422,customers!$A$2:$A$1001,customers!$I$2:$I$1001,,0)</f>
        <v>No</v>
      </c>
    </row>
    <row r="423" spans="1:16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_xlfn.XLOOKUP(C423,customers!$A$1:$A$1001,customers!$C$1:$C$1001,,0)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>
        <f>INDEX(products!$A$1:$G$49,MATCH(orders!$D423,products!$A$1:$A$49,0),MATCH(orders!K$1,products!$A$1:$G$1,0))</f>
        <v>2.5</v>
      </c>
      <c r="L423">
        <f>INDEX(products!$A$1:$G$49,MATCH(orders!$D423,products!$A$1:$A$49,0),MATCH(orders!L$1,products!$A$1:$G$1,0))</f>
        <v>22.884999999999998</v>
      </c>
      <c r="M423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_xlfn.XLOOKUP(C423,customers!$A$2:$A$1001,customers!$I$2:$I$1001,,0)</f>
        <v>No</v>
      </c>
    </row>
    <row r="424" spans="1:16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>
        <f>_xlfn.XLOOKUP(C424,customers!$A$1:$A$1001,customers!$C$1:$C$1001,,0)</f>
        <v>0</v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>
        <f>INDEX(products!$A$1:$G$49,MATCH(orders!$D424,products!$A$1:$A$49,0),MATCH(orders!K$1,products!$A$1:$G$1,0))</f>
        <v>0.5</v>
      </c>
      <c r="L424">
        <f>INDEX(products!$A$1:$G$49,MATCH(orders!$D424,products!$A$1:$A$49,0),MATCH(orders!L$1,products!$A$1:$G$1,0))</f>
        <v>5.97</v>
      </c>
      <c r="M424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_xlfn.XLOOKUP(C424,customers!$A$2:$A$1001,customers!$I$2:$I$1001,,0)</f>
        <v>No</v>
      </c>
    </row>
    <row r="425" spans="1:16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>
        <f>_xlfn.XLOOKUP(C425,customers!$A$1:$A$1001,customers!$C$1:$C$1001,,0)</f>
        <v>0</v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>
        <f>INDEX(products!$A$1:$G$49,MATCH(orders!$D425,products!$A$1:$A$49,0),MATCH(orders!K$1,products!$A$1:$G$1,0))</f>
        <v>0.5</v>
      </c>
      <c r="L425">
        <f>INDEX(products!$A$1:$G$49,MATCH(orders!$D425,products!$A$1:$A$49,0),MATCH(orders!L$1,products!$A$1:$G$1,0))</f>
        <v>5.97</v>
      </c>
      <c r="M42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_xlfn.XLOOKUP(C425,customers!$A$2:$A$1001,customers!$I$2:$I$1001,,0)</f>
        <v>No</v>
      </c>
    </row>
    <row r="426" spans="1:16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_xlfn.XLOOKUP(C426,customers!$A$1:$A$1001,customers!$C$1:$C$1001,,0)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>
        <f>INDEX(products!$A$1:$G$49,MATCH(orders!$D426,products!$A$1:$A$49,0),MATCH(orders!K$1,products!$A$1:$G$1,0))</f>
        <v>0.5</v>
      </c>
      <c r="L426">
        <f>INDEX(products!$A$1:$G$49,MATCH(orders!$D426,products!$A$1:$A$49,0),MATCH(orders!L$1,products!$A$1:$G$1,0))</f>
        <v>8.91</v>
      </c>
      <c r="M426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_xlfn.XLOOKUP(C426,customers!$A$2:$A$1001,customers!$I$2:$I$1001,,0)</f>
        <v>Yes</v>
      </c>
    </row>
    <row r="427" spans="1:16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_xlfn.XLOOKUP(C427,customers!$A$1:$A$1001,customers!$C$1:$C$1001,,0)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>
        <f>INDEX(products!$A$1:$G$49,MATCH(orders!$D427,products!$A$1:$A$49,0),MATCH(orders!K$1,products!$A$1:$G$1,0))</f>
        <v>1</v>
      </c>
      <c r="L427">
        <f>INDEX(products!$A$1:$G$49,MATCH(orders!$D427,products!$A$1:$A$49,0),MATCH(orders!L$1,products!$A$1:$G$1,0))</f>
        <v>8.9499999999999993</v>
      </c>
      <c r="M427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_xlfn.XLOOKUP(C427,customers!$A$2:$A$1001,customers!$I$2:$I$1001,,0)</f>
        <v>No</v>
      </c>
    </row>
    <row r="428" spans="1:16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_xlfn.XLOOKUP(C428,customers!$A$1:$A$1001,customers!$C$1:$C$1001,,0)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>
        <f>INDEX(products!$A$1:$G$49,MATCH(orders!$D428,products!$A$1:$A$49,0),MATCH(orders!K$1,products!$A$1:$G$1,0))</f>
        <v>0.2</v>
      </c>
      <c r="L428">
        <f>INDEX(products!$A$1:$G$49,MATCH(orders!$D428,products!$A$1:$A$49,0),MATCH(orders!L$1,products!$A$1:$G$1,0))</f>
        <v>3.5849999999999995</v>
      </c>
      <c r="M428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_xlfn.XLOOKUP(C428,customers!$A$2:$A$1001,customers!$I$2:$I$1001,,0)</f>
        <v>Yes</v>
      </c>
    </row>
    <row r="429" spans="1:16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>
        <f>_xlfn.XLOOKUP(C429,customers!$A$1:$A$1001,customers!$C$1:$C$1001,,0)</f>
        <v>0</v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>
        <f>INDEX(products!$A$1:$G$49,MATCH(orders!$D429,products!$A$1:$A$49,0),MATCH(orders!K$1,products!$A$1:$G$1,0))</f>
        <v>2.5</v>
      </c>
      <c r="L429">
        <f>INDEX(products!$A$1:$G$49,MATCH(orders!$D429,products!$A$1:$A$49,0),MATCH(orders!L$1,products!$A$1:$G$1,0))</f>
        <v>25.874999999999996</v>
      </c>
      <c r="M429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_xlfn.XLOOKUP(C429,customers!$A$2:$A$1001,customers!$I$2:$I$1001,,0)</f>
        <v>Yes</v>
      </c>
    </row>
    <row r="430" spans="1:16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_xlfn.XLOOKUP(C430,customers!$A$1:$A$1001,customers!$C$1:$C$1001,,0)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>
        <f>INDEX(products!$A$1:$G$49,MATCH(orders!$D430,products!$A$1:$A$49,0),MATCH(orders!K$1,products!$A$1:$G$1,0))</f>
        <v>1</v>
      </c>
      <c r="L430">
        <f>INDEX(products!$A$1:$G$49,MATCH(orders!$D430,products!$A$1:$A$49,0),MATCH(orders!L$1,products!$A$1:$G$1,0))</f>
        <v>11.95</v>
      </c>
      <c r="M430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_xlfn.XLOOKUP(C430,customers!$A$2:$A$1001,customers!$I$2:$I$1001,,0)</f>
        <v>No</v>
      </c>
    </row>
    <row r="431" spans="1:16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_xlfn.XLOOKUP(C431,customers!$A$1:$A$1001,customers!$C$1:$C$1001,,0)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>
        <f>INDEX(products!$A$1:$G$49,MATCH(orders!$D431,products!$A$1:$A$49,0),MATCH(orders!K$1,products!$A$1:$G$1,0))</f>
        <v>1</v>
      </c>
      <c r="L431">
        <f>INDEX(products!$A$1:$G$49,MATCH(orders!$D431,products!$A$1:$A$49,0),MATCH(orders!L$1,products!$A$1:$G$1,0))</f>
        <v>12.95</v>
      </c>
      <c r="M431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_xlfn.XLOOKUP(C431,customers!$A$2:$A$1001,customers!$I$2:$I$1001,,0)</f>
        <v>No</v>
      </c>
    </row>
    <row r="432" spans="1:16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_xlfn.XLOOKUP(C432,customers!$A$1:$A$1001,customers!$C$1:$C$1001,,0)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>
        <f>INDEX(products!$A$1:$G$49,MATCH(orders!$D432,products!$A$1:$A$49,0),MATCH(orders!K$1,products!$A$1:$G$1,0))</f>
        <v>0.2</v>
      </c>
      <c r="L432">
        <f>INDEX(products!$A$1:$G$49,MATCH(orders!$D432,products!$A$1:$A$49,0),MATCH(orders!L$1,products!$A$1:$G$1,0))</f>
        <v>2.6849999999999996</v>
      </c>
      <c r="M432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_xlfn.XLOOKUP(C432,customers!$A$2:$A$1001,customers!$I$2:$I$1001,,0)</f>
        <v>Yes</v>
      </c>
    </row>
    <row r="433" spans="1:16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_xlfn.XLOOKUP(C433,customers!$A$1:$A$1001,customers!$C$1:$C$1001,,0)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>
        <f>INDEX(products!$A$1:$G$49,MATCH(orders!$D433,products!$A$1:$A$49,0),MATCH(orders!K$1,products!$A$1:$G$1,0))</f>
        <v>2.5</v>
      </c>
      <c r="L433">
        <f>INDEX(products!$A$1:$G$49,MATCH(orders!$D433,products!$A$1:$A$49,0),MATCH(orders!L$1,products!$A$1:$G$1,0))</f>
        <v>27.945</v>
      </c>
      <c r="M433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_xlfn.XLOOKUP(C433,customers!$A$2:$A$1001,customers!$I$2:$I$1001,,0)</f>
        <v>Yes</v>
      </c>
    </row>
    <row r="434" spans="1:16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>
        <f>_xlfn.XLOOKUP(C434,customers!$A$1:$A$1001,customers!$C$1:$C$1001,,0)</f>
        <v>0</v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>
        <f>INDEX(products!$A$1:$G$49,MATCH(orders!$D434,products!$A$1:$A$49,0),MATCH(orders!K$1,products!$A$1:$G$1,0))</f>
        <v>1</v>
      </c>
      <c r="L434">
        <f>INDEX(products!$A$1:$G$49,MATCH(orders!$D434,products!$A$1:$A$49,0),MATCH(orders!L$1,products!$A$1:$G$1,0))</f>
        <v>11.25</v>
      </c>
      <c r="M434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_xlfn.XLOOKUP(C434,customers!$A$2:$A$1001,customers!$I$2:$I$1001,,0)</f>
        <v>No</v>
      </c>
    </row>
    <row r="435" spans="1:16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_xlfn.XLOOKUP(C435,customers!$A$1:$A$1001,customers!$C$1:$C$1001,,0)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>
        <f>INDEX(products!$A$1:$G$49,MATCH(orders!$D435,products!$A$1:$A$49,0),MATCH(orders!K$1,products!$A$1:$G$1,0))</f>
        <v>2.5</v>
      </c>
      <c r="L435">
        <f>INDEX(products!$A$1:$G$49,MATCH(orders!$D435,products!$A$1:$A$49,0),MATCH(orders!L$1,products!$A$1:$G$1,0))</f>
        <v>33.464999999999996</v>
      </c>
      <c r="M43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_xlfn.XLOOKUP(C435,customers!$A$2:$A$1001,customers!$I$2:$I$1001,,0)</f>
        <v>Yes</v>
      </c>
    </row>
    <row r="436" spans="1:16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>
        <f>_xlfn.XLOOKUP(C436,customers!$A$1:$A$1001,customers!$C$1:$C$1001,,0)</f>
        <v>0</v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>
        <f>INDEX(products!$A$1:$G$49,MATCH(orders!$D436,products!$A$1:$A$49,0),MATCH(orders!K$1,products!$A$1:$G$1,0))</f>
        <v>1</v>
      </c>
      <c r="L436">
        <f>INDEX(products!$A$1:$G$49,MATCH(orders!$D436,products!$A$1:$A$49,0),MATCH(orders!L$1,products!$A$1:$G$1,0))</f>
        <v>11.25</v>
      </c>
      <c r="M436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_xlfn.XLOOKUP(C436,customers!$A$2:$A$1001,customers!$I$2:$I$1001,,0)</f>
        <v>No</v>
      </c>
    </row>
    <row r="437" spans="1:16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_xlfn.XLOOKUP(C437,customers!$A$1:$A$1001,customers!$C$1:$C$1001,,0)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>
        <f>INDEX(products!$A$1:$G$49,MATCH(orders!$D437,products!$A$1:$A$49,0),MATCH(orders!K$1,products!$A$1:$G$1,0))</f>
        <v>0.5</v>
      </c>
      <c r="L437">
        <f>INDEX(products!$A$1:$G$49,MATCH(orders!$D437,products!$A$1:$A$49,0),MATCH(orders!L$1,products!$A$1:$G$1,0))</f>
        <v>8.25</v>
      </c>
      <c r="M437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_xlfn.XLOOKUP(C437,customers!$A$2:$A$1001,customers!$I$2:$I$1001,,0)</f>
        <v>No</v>
      </c>
    </row>
    <row r="438" spans="1:16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_xlfn.XLOOKUP(C438,customers!$A$1:$A$1001,customers!$C$1:$C$1001,,0)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>
        <f>INDEX(products!$A$1:$G$49,MATCH(orders!$D438,products!$A$1:$A$49,0),MATCH(orders!K$1,products!$A$1:$G$1,0))</f>
        <v>0.2</v>
      </c>
      <c r="L438">
        <f>INDEX(products!$A$1:$G$49,MATCH(orders!$D438,products!$A$1:$A$49,0),MATCH(orders!L$1,products!$A$1:$G$1,0))</f>
        <v>4.7549999999999999</v>
      </c>
      <c r="M438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_xlfn.XLOOKUP(C438,customers!$A$2:$A$1001,customers!$I$2:$I$1001,,0)</f>
        <v>Yes</v>
      </c>
    </row>
    <row r="439" spans="1:16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>
        <f>_xlfn.XLOOKUP(C439,customers!$A$1:$A$1001,customers!$C$1:$C$1001,,0)</f>
        <v>0</v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>
        <f>INDEX(products!$A$1:$G$49,MATCH(orders!$D439,products!$A$1:$A$49,0),MATCH(orders!K$1,products!$A$1:$G$1,0))</f>
        <v>2.5</v>
      </c>
      <c r="L439">
        <f>INDEX(products!$A$1:$G$49,MATCH(orders!$D439,products!$A$1:$A$49,0),MATCH(orders!L$1,products!$A$1:$G$1,0))</f>
        <v>29.784999999999997</v>
      </c>
      <c r="M439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_xlfn.XLOOKUP(C439,customers!$A$2:$A$1001,customers!$I$2:$I$1001,,0)</f>
        <v>No</v>
      </c>
    </row>
    <row r="440" spans="1:16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_xlfn.XLOOKUP(C440,customers!$A$1:$A$1001,customers!$C$1:$C$1001,,0)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>
        <f>INDEX(products!$A$1:$G$49,MATCH(orders!$D440,products!$A$1:$A$49,0),MATCH(orders!K$1,products!$A$1:$G$1,0))</f>
        <v>0.5</v>
      </c>
      <c r="L440">
        <f>INDEX(products!$A$1:$G$49,MATCH(orders!$D440,products!$A$1:$A$49,0),MATCH(orders!L$1,products!$A$1:$G$1,0))</f>
        <v>7.77</v>
      </c>
      <c r="M440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_xlfn.XLOOKUP(C440,customers!$A$2:$A$1001,customers!$I$2:$I$1001,,0)</f>
        <v>No</v>
      </c>
    </row>
    <row r="441" spans="1:16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_xlfn.XLOOKUP(C441,customers!$A$1:$A$1001,customers!$C$1:$C$1001,,0)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>
        <f>INDEX(products!$A$1:$G$49,MATCH(orders!$D441,products!$A$1:$A$49,0),MATCH(orders!K$1,products!$A$1:$G$1,0))</f>
        <v>0.5</v>
      </c>
      <c r="L441">
        <f>INDEX(products!$A$1:$G$49,MATCH(orders!$D441,products!$A$1:$A$49,0),MATCH(orders!L$1,products!$A$1:$G$1,0))</f>
        <v>8.91</v>
      </c>
      <c r="M441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_xlfn.XLOOKUP(C441,customers!$A$2:$A$1001,customers!$I$2:$I$1001,,0)</f>
        <v>No</v>
      </c>
    </row>
    <row r="442" spans="1:16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_xlfn.XLOOKUP(C442,customers!$A$1:$A$1001,customers!$C$1:$C$1001,,0)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>
        <f>INDEX(products!$A$1:$G$49,MATCH(orders!$D442,products!$A$1:$A$49,0),MATCH(orders!K$1,products!$A$1:$G$1,0))</f>
        <v>2.5</v>
      </c>
      <c r="L442">
        <f>INDEX(products!$A$1:$G$49,MATCH(orders!$D442,products!$A$1:$A$49,0),MATCH(orders!L$1,products!$A$1:$G$1,0))</f>
        <v>25.874999999999996</v>
      </c>
      <c r="M442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_xlfn.XLOOKUP(C442,customers!$A$2:$A$1001,customers!$I$2:$I$1001,,0)</f>
        <v>Yes</v>
      </c>
    </row>
    <row r="443" spans="1:16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_xlfn.XLOOKUP(C443,customers!$A$1:$A$1001,customers!$C$1:$C$1001,,0)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>
        <f>INDEX(products!$A$1:$G$49,MATCH(orders!$D443,products!$A$1:$A$49,0),MATCH(orders!K$1,products!$A$1:$G$1,0))</f>
        <v>1</v>
      </c>
      <c r="L443">
        <f>INDEX(products!$A$1:$G$49,MATCH(orders!$D443,products!$A$1:$A$49,0),MATCH(orders!L$1,products!$A$1:$G$1,0))</f>
        <v>12.15</v>
      </c>
      <c r="M443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_xlfn.XLOOKUP(C443,customers!$A$2:$A$1001,customers!$I$2:$I$1001,,0)</f>
        <v>Yes</v>
      </c>
    </row>
    <row r="444" spans="1:16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_xlfn.XLOOKUP(C444,customers!$A$1:$A$1001,customers!$C$1:$C$1001,,0)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>
        <f>INDEX(products!$A$1:$G$49,MATCH(orders!$D444,products!$A$1:$A$49,0),MATCH(orders!K$1,products!$A$1:$G$1,0))</f>
        <v>0.5</v>
      </c>
      <c r="L444">
        <f>INDEX(products!$A$1:$G$49,MATCH(orders!$D444,products!$A$1:$A$49,0),MATCH(orders!L$1,products!$A$1:$G$1,0))</f>
        <v>7.169999999999999</v>
      </c>
      <c r="M444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_xlfn.XLOOKUP(C444,customers!$A$2:$A$1001,customers!$I$2:$I$1001,,0)</f>
        <v>No</v>
      </c>
    </row>
    <row r="445" spans="1:16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_xlfn.XLOOKUP(C445,customers!$A$1:$A$1001,customers!$C$1:$C$1001,,0)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>
        <f>INDEX(products!$A$1:$G$49,MATCH(orders!$D445,products!$A$1:$A$49,0),MATCH(orders!K$1,products!$A$1:$G$1,0))</f>
        <v>0.2</v>
      </c>
      <c r="L445">
        <f>INDEX(products!$A$1:$G$49,MATCH(orders!$D445,products!$A$1:$A$49,0),MATCH(orders!L$1,products!$A$1:$G$1,0))</f>
        <v>4.4550000000000001</v>
      </c>
      <c r="M44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_xlfn.XLOOKUP(C445,customers!$A$2:$A$1001,customers!$I$2:$I$1001,,0)</f>
        <v>Yes</v>
      </c>
    </row>
    <row r="446" spans="1:16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_xlfn.XLOOKUP(C446,customers!$A$1:$A$1001,customers!$C$1:$C$1001,,0)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>
        <f>INDEX(products!$A$1:$G$49,MATCH(orders!$D446,products!$A$1:$A$49,0),MATCH(orders!K$1,products!$A$1:$G$1,0))</f>
        <v>0.2</v>
      </c>
      <c r="L446">
        <f>INDEX(products!$A$1:$G$49,MATCH(orders!$D446,products!$A$1:$A$49,0),MATCH(orders!L$1,products!$A$1:$G$1,0))</f>
        <v>4.125</v>
      </c>
      <c r="M446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_xlfn.XLOOKUP(C446,customers!$A$2:$A$1001,customers!$I$2:$I$1001,,0)</f>
        <v>No</v>
      </c>
    </row>
    <row r="447" spans="1:16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_xlfn.XLOOKUP(C447,customers!$A$1:$A$1001,customers!$C$1:$C$1001,,0)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>
        <f>INDEX(products!$A$1:$G$49,MATCH(orders!$D447,products!$A$1:$A$49,0),MATCH(orders!K$1,products!$A$1:$G$1,0))</f>
        <v>2.5</v>
      </c>
      <c r="L447">
        <f>INDEX(products!$A$1:$G$49,MATCH(orders!$D447,products!$A$1:$A$49,0),MATCH(orders!L$1,products!$A$1:$G$1,0))</f>
        <v>33.464999999999996</v>
      </c>
      <c r="M447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_xlfn.XLOOKUP(C447,customers!$A$2:$A$1001,customers!$I$2:$I$1001,,0)</f>
        <v>Yes</v>
      </c>
    </row>
    <row r="448" spans="1:16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_xlfn.XLOOKUP(C448,customers!$A$1:$A$1001,customers!$C$1:$C$1001,,0)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>
        <f>INDEX(products!$A$1:$G$49,MATCH(orders!$D448,products!$A$1:$A$49,0),MATCH(orders!K$1,products!$A$1:$G$1,0))</f>
        <v>0.5</v>
      </c>
      <c r="L448">
        <f>INDEX(products!$A$1:$G$49,MATCH(orders!$D448,products!$A$1:$A$49,0),MATCH(orders!L$1,products!$A$1:$G$1,0))</f>
        <v>8.73</v>
      </c>
      <c r="M448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_xlfn.XLOOKUP(C448,customers!$A$2:$A$1001,customers!$I$2:$I$1001,,0)</f>
        <v>Yes</v>
      </c>
    </row>
    <row r="449" spans="1:16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_xlfn.XLOOKUP(C449,customers!$A$1:$A$1001,customers!$C$1:$C$1001,,0)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>
        <f>INDEX(products!$A$1:$G$49,MATCH(orders!$D449,products!$A$1:$A$49,0),MATCH(orders!K$1,products!$A$1:$G$1,0))</f>
        <v>0.5</v>
      </c>
      <c r="L449">
        <f>INDEX(products!$A$1:$G$49,MATCH(orders!$D449,products!$A$1:$A$49,0),MATCH(orders!L$1,products!$A$1:$G$1,0))</f>
        <v>5.97</v>
      </c>
      <c r="M449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_xlfn.XLOOKUP(C449,customers!$A$2:$A$1001,customers!$I$2:$I$1001,,0)</f>
        <v>No</v>
      </c>
    </row>
    <row r="450" spans="1:16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_xlfn.XLOOKUP(C450,customers!$A$1:$A$1001,customers!$C$1:$C$1001,,0)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>
        <f>INDEX(products!$A$1:$G$49,MATCH(orders!$D450,products!$A$1:$A$49,0),MATCH(orders!K$1,products!$A$1:$G$1,0))</f>
        <v>0.5</v>
      </c>
      <c r="L450">
        <f>INDEX(products!$A$1:$G$49,MATCH(orders!$D450,products!$A$1:$A$49,0),MATCH(orders!L$1,products!$A$1:$G$1,0))</f>
        <v>7.169999999999999</v>
      </c>
      <c r="M450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_xlfn.XLOOKUP(C450,customers!$A$2:$A$1001,customers!$I$2:$I$1001,,0)</f>
        <v>No</v>
      </c>
    </row>
    <row r="451" spans="1:16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_xlfn.XLOOKUP(C451,customers!$A$1:$A$1001,customers!$C$1:$C$1001,,0)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>
        <f>INDEX(products!$A$1:$G$49,MATCH(orders!$D451,products!$A$1:$A$49,0),MATCH(orders!K$1,products!$A$1:$G$1,0))</f>
        <v>0.2</v>
      </c>
      <c r="L451">
        <f>INDEX(products!$A$1:$G$49,MATCH(orders!$D451,products!$A$1:$A$49,0),MATCH(orders!L$1,products!$A$1:$G$1,0))</f>
        <v>2.6849999999999996</v>
      </c>
      <c r="M451">
        <f t="shared" ref="M451:M514" si="21">L451*E451</f>
        <v>5.3699999999999992</v>
      </c>
      <c r="N451" t="str">
        <f t="shared" ref="N451:N514" si="22">IF(I451="Rob","Robusta",IF(I451="Exc","Excelsa",IF(I451="Lib","Liberica",IF(I451="Ara","Arabica"))))</f>
        <v>Robusta</v>
      </c>
      <c r="O451" t="str">
        <f t="shared" si="20"/>
        <v>Dark</v>
      </c>
      <c r="P451" t="str">
        <f>_xlfn.XLOOKUP(C451,customers!$A$2:$A$1001,customers!$I$2:$I$1001,,0)</f>
        <v>No</v>
      </c>
    </row>
    <row r="452" spans="1:16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_xlfn.XLOOKUP(C452,customers!$A$1:$A$1001,customers!$C$1:$C$1001,,0)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>
        <f>INDEX(products!$A$1:$G$49,MATCH(orders!$D452,products!$A$1:$A$49,0),MATCH(orders!K$1,products!$A$1:$G$1,0))</f>
        <v>0.2</v>
      </c>
      <c r="L452">
        <f>INDEX(products!$A$1:$G$49,MATCH(orders!$D452,products!$A$1:$A$49,0),MATCH(orders!L$1,products!$A$1:$G$1,0))</f>
        <v>4.7549999999999999</v>
      </c>
      <c r="M452">
        <f t="shared" si="21"/>
        <v>23.774999999999999</v>
      </c>
      <c r="N452" t="str">
        <f t="shared" si="22"/>
        <v>Liberica</v>
      </c>
      <c r="O452" t="str">
        <f t="shared" si="20"/>
        <v>Light</v>
      </c>
      <c r="P452" t="str">
        <f>_xlfn.XLOOKUP(C452,customers!$A$2:$A$1001,customers!$I$2:$I$1001,,0)</f>
        <v>No</v>
      </c>
    </row>
    <row r="453" spans="1:16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_xlfn.XLOOKUP(C453,customers!$A$1:$A$1001,customers!$C$1:$C$1001,,0)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>
        <f>INDEX(products!$A$1:$G$49,MATCH(orders!$D453,products!$A$1:$A$49,0),MATCH(orders!K$1,products!$A$1:$G$1,0))</f>
        <v>2.5</v>
      </c>
      <c r="L453">
        <f>INDEX(products!$A$1:$G$49,MATCH(orders!$D453,products!$A$1:$A$49,0),MATCH(orders!L$1,products!$A$1:$G$1,0))</f>
        <v>20.584999999999997</v>
      </c>
      <c r="M453">
        <f t="shared" si="21"/>
        <v>41.169999999999995</v>
      </c>
      <c r="N453" t="str">
        <f t="shared" si="22"/>
        <v>Robusta</v>
      </c>
      <c r="O453" t="str">
        <f t="shared" ref="O453:O516" si="23">IF(J453="L","Light",IF(J453="M","Medium",IF(J453="D","Dark")))</f>
        <v>Dark</v>
      </c>
      <c r="P453" t="str">
        <f>_xlfn.XLOOKUP(C453,customers!$A$2:$A$1001,customers!$I$2:$I$1001,,0)</f>
        <v>Yes</v>
      </c>
    </row>
    <row r="454" spans="1:16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_xlfn.XLOOKUP(C454,customers!$A$1:$A$1001,customers!$C$1:$C$1001,,0)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>
        <f>INDEX(products!$A$1:$G$49,MATCH(orders!$D454,products!$A$1:$A$49,0),MATCH(orders!K$1,products!$A$1:$G$1,0))</f>
        <v>0.2</v>
      </c>
      <c r="L454">
        <f>INDEX(products!$A$1:$G$49,MATCH(orders!$D454,products!$A$1:$A$49,0),MATCH(orders!L$1,products!$A$1:$G$1,0))</f>
        <v>3.8849999999999998</v>
      </c>
      <c r="M454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_xlfn.XLOOKUP(C454,customers!$A$2:$A$1001,customers!$I$2:$I$1001,,0)</f>
        <v>No</v>
      </c>
    </row>
    <row r="455" spans="1:16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_xlfn.XLOOKUP(C455,customers!$A$1:$A$1001,customers!$C$1:$C$1001,,0)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>
        <f>INDEX(products!$A$1:$G$49,MATCH(orders!$D455,products!$A$1:$A$49,0),MATCH(orders!K$1,products!$A$1:$G$1,0))</f>
        <v>0.5</v>
      </c>
      <c r="L455">
        <f>INDEX(products!$A$1:$G$49,MATCH(orders!$D455,products!$A$1:$A$49,0),MATCH(orders!L$1,products!$A$1:$G$1,0))</f>
        <v>9.51</v>
      </c>
      <c r="M45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_xlfn.XLOOKUP(C455,customers!$A$2:$A$1001,customers!$I$2:$I$1001,,0)</f>
        <v>No</v>
      </c>
    </row>
    <row r="456" spans="1:16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_xlfn.XLOOKUP(C456,customers!$A$1:$A$1001,customers!$C$1:$C$1001,,0)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>
        <f>INDEX(products!$A$1:$G$49,MATCH(orders!$D456,products!$A$1:$A$49,0),MATCH(orders!K$1,products!$A$1:$G$1,0))</f>
        <v>2.5</v>
      </c>
      <c r="L456">
        <f>INDEX(products!$A$1:$G$49,MATCH(orders!$D456,products!$A$1:$A$49,0),MATCH(orders!L$1,products!$A$1:$G$1,0))</f>
        <v>20.584999999999997</v>
      </c>
      <c r="M456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_xlfn.XLOOKUP(C456,customers!$A$2:$A$1001,customers!$I$2:$I$1001,,0)</f>
        <v>Yes</v>
      </c>
    </row>
    <row r="457" spans="1:16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_xlfn.XLOOKUP(C457,customers!$A$1:$A$1001,customers!$C$1:$C$1001,,0)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>
        <f>INDEX(products!$A$1:$G$49,MATCH(orders!$D457,products!$A$1:$A$49,0),MATCH(orders!K$1,products!$A$1:$G$1,0))</f>
        <v>0.2</v>
      </c>
      <c r="L457">
        <f>INDEX(products!$A$1:$G$49,MATCH(orders!$D457,products!$A$1:$A$49,0),MATCH(orders!L$1,products!$A$1:$G$1,0))</f>
        <v>4.7549999999999999</v>
      </c>
      <c r="M457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_xlfn.XLOOKUP(C457,customers!$A$2:$A$1001,customers!$I$2:$I$1001,,0)</f>
        <v>Yes</v>
      </c>
    </row>
    <row r="458" spans="1:16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_xlfn.XLOOKUP(C458,customers!$A$1:$A$1001,customers!$C$1:$C$1001,,0)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>
        <f>INDEX(products!$A$1:$G$49,MATCH(orders!$D458,products!$A$1:$A$49,0),MATCH(orders!K$1,products!$A$1:$G$1,0))</f>
        <v>2.5</v>
      </c>
      <c r="L458">
        <f>INDEX(products!$A$1:$G$49,MATCH(orders!$D458,products!$A$1:$A$49,0),MATCH(orders!L$1,products!$A$1:$G$1,0))</f>
        <v>20.584999999999997</v>
      </c>
      <c r="M458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_xlfn.XLOOKUP(C458,customers!$A$2:$A$1001,customers!$I$2:$I$1001,,0)</f>
        <v>No</v>
      </c>
    </row>
    <row r="459" spans="1:16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_xlfn.XLOOKUP(C459,customers!$A$1:$A$1001,customers!$C$1:$C$1001,,0)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>
        <f>INDEX(products!$A$1:$G$49,MATCH(orders!$D459,products!$A$1:$A$49,0),MATCH(orders!K$1,products!$A$1:$G$1,0))</f>
        <v>0.5</v>
      </c>
      <c r="L459">
        <f>INDEX(products!$A$1:$G$49,MATCH(orders!$D459,products!$A$1:$A$49,0),MATCH(orders!L$1,products!$A$1:$G$1,0))</f>
        <v>9.51</v>
      </c>
      <c r="M459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_xlfn.XLOOKUP(C459,customers!$A$2:$A$1001,customers!$I$2:$I$1001,,0)</f>
        <v>No</v>
      </c>
    </row>
    <row r="460" spans="1:16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_xlfn.XLOOKUP(C460,customers!$A$1:$A$1001,customers!$C$1:$C$1001,,0)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>
        <f>INDEX(products!$A$1:$G$49,MATCH(orders!$D460,products!$A$1:$A$49,0),MATCH(orders!K$1,products!$A$1:$G$1,0))</f>
        <v>1</v>
      </c>
      <c r="L460">
        <f>INDEX(products!$A$1:$G$49,MATCH(orders!$D460,products!$A$1:$A$49,0),MATCH(orders!L$1,products!$A$1:$G$1,0))</f>
        <v>11.25</v>
      </c>
      <c r="M460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_xlfn.XLOOKUP(C460,customers!$A$2:$A$1001,customers!$I$2:$I$1001,,0)</f>
        <v>No</v>
      </c>
    </row>
    <row r="461" spans="1:16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_xlfn.XLOOKUP(C461,customers!$A$1:$A$1001,customers!$C$1:$C$1001,,0)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>
        <f>INDEX(products!$A$1:$G$49,MATCH(orders!$D461,products!$A$1:$A$49,0),MATCH(orders!K$1,products!$A$1:$G$1,0))</f>
        <v>0.2</v>
      </c>
      <c r="L461">
        <f>INDEX(products!$A$1:$G$49,MATCH(orders!$D461,products!$A$1:$A$49,0),MATCH(orders!L$1,products!$A$1:$G$1,0))</f>
        <v>4.7549999999999999</v>
      </c>
      <c r="M461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_xlfn.XLOOKUP(C461,customers!$A$2:$A$1001,customers!$I$2:$I$1001,,0)</f>
        <v>No</v>
      </c>
    </row>
    <row r="462" spans="1:16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_xlfn.XLOOKUP(C462,customers!$A$1:$A$1001,customers!$C$1:$C$1001,,0)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>
        <f>INDEX(products!$A$1:$G$49,MATCH(orders!$D462,products!$A$1:$A$49,0),MATCH(orders!K$1,products!$A$1:$G$1,0))</f>
        <v>0.5</v>
      </c>
      <c r="L462">
        <f>INDEX(products!$A$1:$G$49,MATCH(orders!$D462,products!$A$1:$A$49,0),MATCH(orders!L$1,products!$A$1:$G$1,0))</f>
        <v>5.3699999999999992</v>
      </c>
      <c r="M462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_xlfn.XLOOKUP(C462,customers!$A$2:$A$1001,customers!$I$2:$I$1001,,0)</f>
        <v>Yes</v>
      </c>
    </row>
    <row r="463" spans="1:16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_xlfn.XLOOKUP(C463,customers!$A$1:$A$1001,customers!$C$1:$C$1001,,0)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>
        <f>INDEX(products!$A$1:$G$49,MATCH(orders!$D463,products!$A$1:$A$49,0),MATCH(orders!K$1,products!$A$1:$G$1,0))</f>
        <v>0.2</v>
      </c>
      <c r="L463">
        <f>INDEX(products!$A$1:$G$49,MATCH(orders!$D463,products!$A$1:$A$49,0),MATCH(orders!L$1,products!$A$1:$G$1,0))</f>
        <v>2.6849999999999996</v>
      </c>
      <c r="M463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_xlfn.XLOOKUP(C463,customers!$A$2:$A$1001,customers!$I$2:$I$1001,,0)</f>
        <v>Yes</v>
      </c>
    </row>
    <row r="464" spans="1:16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_xlfn.XLOOKUP(C464,customers!$A$1:$A$1001,customers!$C$1:$C$1001,,0)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>
        <f>INDEX(products!$A$1:$G$49,MATCH(orders!$D464,products!$A$1:$A$49,0),MATCH(orders!K$1,products!$A$1:$G$1,0))</f>
        <v>1</v>
      </c>
      <c r="L464">
        <f>INDEX(products!$A$1:$G$49,MATCH(orders!$D464,products!$A$1:$A$49,0),MATCH(orders!L$1,products!$A$1:$G$1,0))</f>
        <v>9.9499999999999993</v>
      </c>
      <c r="M464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_xlfn.XLOOKUP(C464,customers!$A$2:$A$1001,customers!$I$2:$I$1001,,0)</f>
        <v>Yes</v>
      </c>
    </row>
    <row r="465" spans="1:16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_xlfn.XLOOKUP(C465,customers!$A$1:$A$1001,customers!$C$1:$C$1001,,0)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>
        <f>INDEX(products!$A$1:$G$49,MATCH(orders!$D465,products!$A$1:$A$49,0),MATCH(orders!K$1,products!$A$1:$G$1,0))</f>
        <v>1</v>
      </c>
      <c r="L465">
        <f>INDEX(products!$A$1:$G$49,MATCH(orders!$D465,products!$A$1:$A$49,0),MATCH(orders!L$1,products!$A$1:$G$1,0))</f>
        <v>13.75</v>
      </c>
      <c r="M46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_xlfn.XLOOKUP(C465,customers!$A$2:$A$1001,customers!$I$2:$I$1001,,0)</f>
        <v>No</v>
      </c>
    </row>
    <row r="466" spans="1:16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_xlfn.XLOOKUP(C466,customers!$A$1:$A$1001,customers!$C$1:$C$1001,,0)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>
        <f>INDEX(products!$A$1:$G$49,MATCH(orders!$D466,products!$A$1:$A$49,0),MATCH(orders!K$1,products!$A$1:$G$1,0))</f>
        <v>2.5</v>
      </c>
      <c r="L466">
        <f>INDEX(products!$A$1:$G$49,MATCH(orders!$D466,products!$A$1:$A$49,0),MATCH(orders!L$1,products!$A$1:$G$1,0))</f>
        <v>29.784999999999997</v>
      </c>
      <c r="M466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_xlfn.XLOOKUP(C466,customers!$A$2:$A$1001,customers!$I$2:$I$1001,,0)</f>
        <v>No</v>
      </c>
    </row>
    <row r="467" spans="1:16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_xlfn.XLOOKUP(C467,customers!$A$1:$A$1001,customers!$C$1:$C$1001,,0)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>
        <f>INDEX(products!$A$1:$G$49,MATCH(orders!$D467,products!$A$1:$A$49,0),MATCH(orders!K$1,products!$A$1:$G$1,0))</f>
        <v>2.5</v>
      </c>
      <c r="L467">
        <f>INDEX(products!$A$1:$G$49,MATCH(orders!$D467,products!$A$1:$A$49,0),MATCH(orders!L$1,products!$A$1:$G$1,0))</f>
        <v>20.584999999999997</v>
      </c>
      <c r="M467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_xlfn.XLOOKUP(C467,customers!$A$2:$A$1001,customers!$I$2:$I$1001,,0)</f>
        <v>Yes</v>
      </c>
    </row>
    <row r="468" spans="1:16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_xlfn.XLOOKUP(C468,customers!$A$1:$A$1001,customers!$C$1:$C$1001,,0)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>
        <f>INDEX(products!$A$1:$G$49,MATCH(orders!$D468,products!$A$1:$A$49,0),MATCH(orders!K$1,products!$A$1:$G$1,0))</f>
        <v>0.2</v>
      </c>
      <c r="L468">
        <f>INDEX(products!$A$1:$G$49,MATCH(orders!$D468,products!$A$1:$A$49,0),MATCH(orders!L$1,products!$A$1:$G$1,0))</f>
        <v>2.9849999999999999</v>
      </c>
      <c r="M468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_xlfn.XLOOKUP(C468,customers!$A$2:$A$1001,customers!$I$2:$I$1001,,0)</f>
        <v>Yes</v>
      </c>
    </row>
    <row r="469" spans="1:16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_xlfn.XLOOKUP(C469,customers!$A$1:$A$1001,customers!$C$1:$C$1001,,0)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>
        <f>INDEX(products!$A$1:$G$49,MATCH(orders!$D469,products!$A$1:$A$49,0),MATCH(orders!K$1,products!$A$1:$G$1,0))</f>
        <v>0.5</v>
      </c>
      <c r="L469">
        <f>INDEX(products!$A$1:$G$49,MATCH(orders!$D469,products!$A$1:$A$49,0),MATCH(orders!L$1,products!$A$1:$G$1,0))</f>
        <v>5.97</v>
      </c>
      <c r="M469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_xlfn.XLOOKUP(C469,customers!$A$2:$A$1001,customers!$I$2:$I$1001,,0)</f>
        <v>No</v>
      </c>
    </row>
    <row r="470" spans="1:16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_xlfn.XLOOKUP(C470,customers!$A$1:$A$1001,customers!$C$1:$C$1001,,0)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>
        <f>INDEX(products!$A$1:$G$49,MATCH(orders!$D470,products!$A$1:$A$49,0),MATCH(orders!K$1,products!$A$1:$G$1,0))</f>
        <v>1</v>
      </c>
      <c r="L470">
        <f>INDEX(products!$A$1:$G$49,MATCH(orders!$D470,products!$A$1:$A$49,0),MATCH(orders!L$1,products!$A$1:$G$1,0))</f>
        <v>13.75</v>
      </c>
      <c r="M470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_xlfn.XLOOKUP(C470,customers!$A$2:$A$1001,customers!$I$2:$I$1001,,0)</f>
        <v>Yes</v>
      </c>
    </row>
    <row r="471" spans="1:16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_xlfn.XLOOKUP(C471,customers!$A$1:$A$1001,customers!$C$1:$C$1001,,0)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>
        <f>INDEX(products!$A$1:$G$49,MATCH(orders!$D471,products!$A$1:$A$49,0),MATCH(orders!K$1,products!$A$1:$G$1,0))</f>
        <v>0.2</v>
      </c>
      <c r="L471">
        <f>INDEX(products!$A$1:$G$49,MATCH(orders!$D471,products!$A$1:$A$49,0),MATCH(orders!L$1,products!$A$1:$G$1,0))</f>
        <v>4.4550000000000001</v>
      </c>
      <c r="M471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_xlfn.XLOOKUP(C471,customers!$A$2:$A$1001,customers!$I$2:$I$1001,,0)</f>
        <v>Yes</v>
      </c>
    </row>
    <row r="472" spans="1:16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_xlfn.XLOOKUP(C472,customers!$A$1:$A$1001,customers!$C$1:$C$1001,,0)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>
        <f>INDEX(products!$A$1:$G$49,MATCH(orders!$D472,products!$A$1:$A$49,0),MATCH(orders!K$1,products!$A$1:$G$1,0))</f>
        <v>0.5</v>
      </c>
      <c r="L472">
        <f>INDEX(products!$A$1:$G$49,MATCH(orders!$D472,products!$A$1:$A$49,0),MATCH(orders!L$1,products!$A$1:$G$1,0))</f>
        <v>6.75</v>
      </c>
      <c r="M472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_xlfn.XLOOKUP(C472,customers!$A$2:$A$1001,customers!$I$2:$I$1001,,0)</f>
        <v>Yes</v>
      </c>
    </row>
    <row r="473" spans="1:16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>
        <f>_xlfn.XLOOKUP(C473,customers!$A$1:$A$1001,customers!$C$1:$C$1001,,0)</f>
        <v>0</v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>
        <f>INDEX(products!$A$1:$G$49,MATCH(orders!$D473,products!$A$1:$A$49,0),MATCH(orders!K$1,products!$A$1:$G$1,0))</f>
        <v>2.5</v>
      </c>
      <c r="L473">
        <f>INDEX(products!$A$1:$G$49,MATCH(orders!$D473,products!$A$1:$A$49,0),MATCH(orders!L$1,products!$A$1:$G$1,0))</f>
        <v>33.464999999999996</v>
      </c>
      <c r="M473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_xlfn.XLOOKUP(C473,customers!$A$2:$A$1001,customers!$I$2:$I$1001,,0)</f>
        <v>Yes</v>
      </c>
    </row>
    <row r="474" spans="1:16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_xlfn.XLOOKUP(C474,customers!$A$1:$A$1001,customers!$C$1:$C$1001,,0)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>
        <f>INDEX(products!$A$1:$G$49,MATCH(orders!$D474,products!$A$1:$A$49,0),MATCH(orders!K$1,products!$A$1:$G$1,0))</f>
        <v>0.2</v>
      </c>
      <c r="L474">
        <f>INDEX(products!$A$1:$G$49,MATCH(orders!$D474,products!$A$1:$A$49,0),MATCH(orders!L$1,products!$A$1:$G$1,0))</f>
        <v>2.9849999999999999</v>
      </c>
      <c r="M474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_xlfn.XLOOKUP(C474,customers!$A$2:$A$1001,customers!$I$2:$I$1001,,0)</f>
        <v>No</v>
      </c>
    </row>
    <row r="475" spans="1:16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_xlfn.XLOOKUP(C475,customers!$A$1:$A$1001,customers!$C$1:$C$1001,,0)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>
        <f>INDEX(products!$A$1:$G$49,MATCH(orders!$D475,products!$A$1:$A$49,0),MATCH(orders!K$1,products!$A$1:$G$1,0))</f>
        <v>1</v>
      </c>
      <c r="L475">
        <f>INDEX(products!$A$1:$G$49,MATCH(orders!$D475,products!$A$1:$A$49,0),MATCH(orders!L$1,products!$A$1:$G$1,0))</f>
        <v>12.95</v>
      </c>
      <c r="M47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_xlfn.XLOOKUP(C475,customers!$A$2:$A$1001,customers!$I$2:$I$1001,,0)</f>
        <v>No</v>
      </c>
    </row>
    <row r="476" spans="1:16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_xlfn.XLOOKUP(C476,customers!$A$1:$A$1001,customers!$C$1:$C$1001,,0)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>
        <f>INDEX(products!$A$1:$G$49,MATCH(orders!$D476,products!$A$1:$A$49,0),MATCH(orders!K$1,products!$A$1:$G$1,0))</f>
        <v>2.5</v>
      </c>
      <c r="L476">
        <f>INDEX(products!$A$1:$G$49,MATCH(orders!$D476,products!$A$1:$A$49,0),MATCH(orders!L$1,products!$A$1:$G$1,0))</f>
        <v>31.624999999999996</v>
      </c>
      <c r="M476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_xlfn.XLOOKUP(C476,customers!$A$2:$A$1001,customers!$I$2:$I$1001,,0)</f>
        <v>Yes</v>
      </c>
    </row>
    <row r="477" spans="1:16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_xlfn.XLOOKUP(C477,customers!$A$1:$A$1001,customers!$C$1:$C$1001,,0)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>
        <f>INDEX(products!$A$1:$G$49,MATCH(orders!$D477,products!$A$1:$A$49,0),MATCH(orders!K$1,products!$A$1:$G$1,0))</f>
        <v>0.2</v>
      </c>
      <c r="L477">
        <f>INDEX(products!$A$1:$G$49,MATCH(orders!$D477,products!$A$1:$A$49,0),MATCH(orders!L$1,products!$A$1:$G$1,0))</f>
        <v>4.3650000000000002</v>
      </c>
      <c r="M477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_xlfn.XLOOKUP(C477,customers!$A$2:$A$1001,customers!$I$2:$I$1001,,0)</f>
        <v>No</v>
      </c>
    </row>
    <row r="478" spans="1:16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_xlfn.XLOOKUP(C478,customers!$A$1:$A$1001,customers!$C$1:$C$1001,,0)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>
        <f>INDEX(products!$A$1:$G$49,MATCH(orders!$D478,products!$A$1:$A$49,0),MATCH(orders!K$1,products!$A$1:$G$1,0))</f>
        <v>0.2</v>
      </c>
      <c r="L478">
        <f>INDEX(products!$A$1:$G$49,MATCH(orders!$D478,products!$A$1:$A$49,0),MATCH(orders!L$1,products!$A$1:$G$1,0))</f>
        <v>4.4550000000000001</v>
      </c>
      <c r="M478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_xlfn.XLOOKUP(C478,customers!$A$2:$A$1001,customers!$I$2:$I$1001,,0)</f>
        <v>Yes</v>
      </c>
    </row>
    <row r="479" spans="1:16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_xlfn.XLOOKUP(C479,customers!$A$1:$A$1001,customers!$C$1:$C$1001,,0)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>
        <f>INDEX(products!$A$1:$G$49,MATCH(orders!$D479,products!$A$1:$A$49,0),MATCH(orders!K$1,products!$A$1:$G$1,0))</f>
        <v>0.2</v>
      </c>
      <c r="L479">
        <f>INDEX(products!$A$1:$G$49,MATCH(orders!$D479,products!$A$1:$A$49,0),MATCH(orders!L$1,products!$A$1:$G$1,0))</f>
        <v>4.3650000000000002</v>
      </c>
      <c r="M479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_xlfn.XLOOKUP(C479,customers!$A$2:$A$1001,customers!$I$2:$I$1001,,0)</f>
        <v>No</v>
      </c>
    </row>
    <row r="480" spans="1:16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_xlfn.XLOOKUP(C480,customers!$A$1:$A$1001,customers!$C$1:$C$1001,,0)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>
        <f>INDEX(products!$A$1:$G$49,MATCH(orders!$D480,products!$A$1:$A$49,0),MATCH(orders!K$1,products!$A$1:$G$1,0))</f>
        <v>1</v>
      </c>
      <c r="L480">
        <f>INDEX(products!$A$1:$G$49,MATCH(orders!$D480,products!$A$1:$A$49,0),MATCH(orders!L$1,products!$A$1:$G$1,0))</f>
        <v>8.9499999999999993</v>
      </c>
      <c r="M480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_xlfn.XLOOKUP(C480,customers!$A$2:$A$1001,customers!$I$2:$I$1001,,0)</f>
        <v>Yes</v>
      </c>
    </row>
    <row r="481" spans="1:16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_xlfn.XLOOKUP(C481,customers!$A$1:$A$1001,customers!$C$1:$C$1001,,0)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>
        <f>INDEX(products!$A$1:$G$49,MATCH(orders!$D481,products!$A$1:$A$49,0),MATCH(orders!K$1,products!$A$1:$G$1,0))</f>
        <v>2.5</v>
      </c>
      <c r="L481">
        <f>INDEX(products!$A$1:$G$49,MATCH(orders!$D481,products!$A$1:$A$49,0),MATCH(orders!L$1,products!$A$1:$G$1,0))</f>
        <v>31.624999999999996</v>
      </c>
      <c r="M481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_xlfn.XLOOKUP(C481,customers!$A$2:$A$1001,customers!$I$2:$I$1001,,0)</f>
        <v>Yes</v>
      </c>
    </row>
    <row r="482" spans="1:16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_xlfn.XLOOKUP(C482,customers!$A$1:$A$1001,customers!$C$1:$C$1001,,0)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>
        <f>INDEX(products!$A$1:$G$49,MATCH(orders!$D482,products!$A$1:$A$49,0),MATCH(orders!K$1,products!$A$1:$G$1,0))</f>
        <v>0.2</v>
      </c>
      <c r="L482">
        <f>INDEX(products!$A$1:$G$49,MATCH(orders!$D482,products!$A$1:$A$49,0),MATCH(orders!L$1,products!$A$1:$G$1,0))</f>
        <v>4.125</v>
      </c>
      <c r="M482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_xlfn.XLOOKUP(C482,customers!$A$2:$A$1001,customers!$I$2:$I$1001,,0)</f>
        <v>Yes</v>
      </c>
    </row>
    <row r="483" spans="1:16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_xlfn.XLOOKUP(C483,customers!$A$1:$A$1001,customers!$C$1:$C$1001,,0)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>
        <f>INDEX(products!$A$1:$G$49,MATCH(orders!$D483,products!$A$1:$A$49,0),MATCH(orders!K$1,products!$A$1:$G$1,0))</f>
        <v>1</v>
      </c>
      <c r="L483">
        <f>INDEX(products!$A$1:$G$49,MATCH(orders!$D483,products!$A$1:$A$49,0),MATCH(orders!L$1,products!$A$1:$G$1,0))</f>
        <v>11.95</v>
      </c>
      <c r="M483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_xlfn.XLOOKUP(C483,customers!$A$2:$A$1001,customers!$I$2:$I$1001,,0)</f>
        <v>No</v>
      </c>
    </row>
    <row r="484" spans="1:16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_xlfn.XLOOKUP(C484,customers!$A$1:$A$1001,customers!$C$1:$C$1001,,0)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>
        <f>INDEX(products!$A$1:$G$49,MATCH(orders!$D484,products!$A$1:$A$49,0),MATCH(orders!K$1,products!$A$1:$G$1,0))</f>
        <v>2.5</v>
      </c>
      <c r="L484">
        <f>INDEX(products!$A$1:$G$49,MATCH(orders!$D484,products!$A$1:$A$49,0),MATCH(orders!L$1,products!$A$1:$G$1,0))</f>
        <v>27.945</v>
      </c>
      <c r="M484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_xlfn.XLOOKUP(C484,customers!$A$2:$A$1001,customers!$I$2:$I$1001,,0)</f>
        <v>Yes</v>
      </c>
    </row>
    <row r="485" spans="1:16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>
        <f>_xlfn.XLOOKUP(C485,customers!$A$1:$A$1001,customers!$C$1:$C$1001,,0)</f>
        <v>0</v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>
        <f>INDEX(products!$A$1:$G$49,MATCH(orders!$D485,products!$A$1:$A$49,0),MATCH(orders!K$1,products!$A$1:$G$1,0))</f>
        <v>2.5</v>
      </c>
      <c r="L485">
        <f>INDEX(products!$A$1:$G$49,MATCH(orders!$D485,products!$A$1:$A$49,0),MATCH(orders!L$1,products!$A$1:$G$1,0))</f>
        <v>29.784999999999997</v>
      </c>
      <c r="M48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_xlfn.XLOOKUP(C485,customers!$A$2:$A$1001,customers!$I$2:$I$1001,,0)</f>
        <v>Yes</v>
      </c>
    </row>
    <row r="486" spans="1:16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_xlfn.XLOOKUP(C486,customers!$A$1:$A$1001,customers!$C$1:$C$1001,,0)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>
        <f>INDEX(products!$A$1:$G$49,MATCH(orders!$D486,products!$A$1:$A$49,0),MATCH(orders!K$1,products!$A$1:$G$1,0))</f>
        <v>0.5</v>
      </c>
      <c r="L486">
        <f>INDEX(products!$A$1:$G$49,MATCH(orders!$D486,products!$A$1:$A$49,0),MATCH(orders!L$1,products!$A$1:$G$1,0))</f>
        <v>9.51</v>
      </c>
      <c r="M486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_xlfn.XLOOKUP(C486,customers!$A$2:$A$1001,customers!$I$2:$I$1001,,0)</f>
        <v>No</v>
      </c>
    </row>
    <row r="487" spans="1:16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_xlfn.XLOOKUP(C487,customers!$A$1:$A$1001,customers!$C$1:$C$1001,,0)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>
        <f>INDEX(products!$A$1:$G$49,MATCH(orders!$D487,products!$A$1:$A$49,0),MATCH(orders!K$1,products!$A$1:$G$1,0))</f>
        <v>0.2</v>
      </c>
      <c r="L487">
        <f>INDEX(products!$A$1:$G$49,MATCH(orders!$D487,products!$A$1:$A$49,0),MATCH(orders!L$1,products!$A$1:$G$1,0))</f>
        <v>3.5849999999999995</v>
      </c>
      <c r="M487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_xlfn.XLOOKUP(C487,customers!$A$2:$A$1001,customers!$I$2:$I$1001,,0)</f>
        <v>Yes</v>
      </c>
    </row>
    <row r="488" spans="1:16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_xlfn.XLOOKUP(C488,customers!$A$1:$A$1001,customers!$C$1:$C$1001,,0)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>
        <f>INDEX(products!$A$1:$G$49,MATCH(orders!$D488,products!$A$1:$A$49,0),MATCH(orders!K$1,products!$A$1:$G$1,0))</f>
        <v>0.5</v>
      </c>
      <c r="L488">
        <f>INDEX(products!$A$1:$G$49,MATCH(orders!$D488,products!$A$1:$A$49,0),MATCH(orders!L$1,products!$A$1:$G$1,0))</f>
        <v>8.73</v>
      </c>
      <c r="M488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_xlfn.XLOOKUP(C488,customers!$A$2:$A$1001,customers!$I$2:$I$1001,,0)</f>
        <v>Yes</v>
      </c>
    </row>
    <row r="489" spans="1:16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_xlfn.XLOOKUP(C489,customers!$A$1:$A$1001,customers!$C$1:$C$1001,,0)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>
        <f>INDEX(products!$A$1:$G$49,MATCH(orders!$D489,products!$A$1:$A$49,0),MATCH(orders!K$1,products!$A$1:$G$1,0))</f>
        <v>1</v>
      </c>
      <c r="L489">
        <f>INDEX(products!$A$1:$G$49,MATCH(orders!$D489,products!$A$1:$A$49,0),MATCH(orders!L$1,products!$A$1:$G$1,0))</f>
        <v>12.15</v>
      </c>
      <c r="M489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_xlfn.XLOOKUP(C489,customers!$A$2:$A$1001,customers!$I$2:$I$1001,,0)</f>
        <v>No</v>
      </c>
    </row>
    <row r="490" spans="1:16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_xlfn.XLOOKUP(C490,customers!$A$1:$A$1001,customers!$C$1:$C$1001,,0)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>
        <f>INDEX(products!$A$1:$G$49,MATCH(orders!$D490,products!$A$1:$A$49,0),MATCH(orders!K$1,products!$A$1:$G$1,0))</f>
        <v>0.2</v>
      </c>
      <c r="L490">
        <f>INDEX(products!$A$1:$G$49,MATCH(orders!$D490,products!$A$1:$A$49,0),MATCH(orders!L$1,products!$A$1:$G$1,0))</f>
        <v>2.9849999999999999</v>
      </c>
      <c r="M490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_xlfn.XLOOKUP(C490,customers!$A$2:$A$1001,customers!$I$2:$I$1001,,0)</f>
        <v>Yes</v>
      </c>
    </row>
    <row r="491" spans="1:16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_xlfn.XLOOKUP(C491,customers!$A$1:$A$1001,customers!$C$1:$C$1001,,0)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>
        <f>INDEX(products!$A$1:$G$49,MATCH(orders!$D491,products!$A$1:$A$49,0),MATCH(orders!K$1,products!$A$1:$G$1,0))</f>
        <v>1</v>
      </c>
      <c r="L491">
        <f>INDEX(products!$A$1:$G$49,MATCH(orders!$D491,products!$A$1:$A$49,0),MATCH(orders!L$1,products!$A$1:$G$1,0))</f>
        <v>15.85</v>
      </c>
      <c r="M491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_xlfn.XLOOKUP(C491,customers!$A$2:$A$1001,customers!$I$2:$I$1001,,0)</f>
        <v>No</v>
      </c>
    </row>
    <row r="492" spans="1:16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_xlfn.XLOOKUP(C492,customers!$A$1:$A$1001,customers!$C$1:$C$1001,,0)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>
        <f>INDEX(products!$A$1:$G$49,MATCH(orders!$D492,products!$A$1:$A$49,0),MATCH(orders!K$1,products!$A$1:$G$1,0))</f>
        <v>0.5</v>
      </c>
      <c r="L492">
        <f>INDEX(products!$A$1:$G$49,MATCH(orders!$D492,products!$A$1:$A$49,0),MATCH(orders!L$1,products!$A$1:$G$1,0))</f>
        <v>7.77</v>
      </c>
      <c r="M492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_xlfn.XLOOKUP(C492,customers!$A$2:$A$1001,customers!$I$2:$I$1001,,0)</f>
        <v>No</v>
      </c>
    </row>
    <row r="493" spans="1:16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>
        <f>_xlfn.XLOOKUP(C493,customers!$A$1:$A$1001,customers!$C$1:$C$1001,,0)</f>
        <v>0</v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>
        <f>INDEX(products!$A$1:$G$49,MATCH(orders!$D493,products!$A$1:$A$49,0),MATCH(orders!K$1,products!$A$1:$G$1,0))</f>
        <v>0.2</v>
      </c>
      <c r="L493">
        <f>INDEX(products!$A$1:$G$49,MATCH(orders!$D493,products!$A$1:$A$49,0),MATCH(orders!L$1,products!$A$1:$G$1,0))</f>
        <v>3.8849999999999998</v>
      </c>
      <c r="M493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_xlfn.XLOOKUP(C493,customers!$A$2:$A$1001,customers!$I$2:$I$1001,,0)</f>
        <v>No</v>
      </c>
    </row>
    <row r="494" spans="1:16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_xlfn.XLOOKUP(C494,customers!$A$1:$A$1001,customers!$C$1:$C$1001,,0)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>
        <f>INDEX(products!$A$1:$G$49,MATCH(orders!$D494,products!$A$1:$A$49,0),MATCH(orders!K$1,products!$A$1:$G$1,0))</f>
        <v>0.2</v>
      </c>
      <c r="L494">
        <f>INDEX(products!$A$1:$G$49,MATCH(orders!$D494,products!$A$1:$A$49,0),MATCH(orders!L$1,products!$A$1:$G$1,0))</f>
        <v>4.125</v>
      </c>
      <c r="M494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_xlfn.XLOOKUP(C494,customers!$A$2:$A$1001,customers!$I$2:$I$1001,,0)</f>
        <v>Yes</v>
      </c>
    </row>
    <row r="495" spans="1:16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_xlfn.XLOOKUP(C495,customers!$A$1:$A$1001,customers!$C$1:$C$1001,,0)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>
        <f>INDEX(products!$A$1:$G$49,MATCH(orders!$D495,products!$A$1:$A$49,0),MATCH(orders!K$1,products!$A$1:$G$1,0))</f>
        <v>0.5</v>
      </c>
      <c r="L495">
        <f>INDEX(products!$A$1:$G$49,MATCH(orders!$D495,products!$A$1:$A$49,0),MATCH(orders!L$1,products!$A$1:$G$1,0))</f>
        <v>5.97</v>
      </c>
      <c r="M49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_xlfn.XLOOKUP(C495,customers!$A$2:$A$1001,customers!$I$2:$I$1001,,0)</f>
        <v>No</v>
      </c>
    </row>
    <row r="496" spans="1:16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_xlfn.XLOOKUP(C496,customers!$A$1:$A$1001,customers!$C$1:$C$1001,,0)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>
        <f>INDEX(products!$A$1:$G$49,MATCH(orders!$D496,products!$A$1:$A$49,0),MATCH(orders!K$1,products!$A$1:$G$1,0))</f>
        <v>1</v>
      </c>
      <c r="L496">
        <f>INDEX(products!$A$1:$G$49,MATCH(orders!$D496,products!$A$1:$A$49,0),MATCH(orders!L$1,products!$A$1:$G$1,0))</f>
        <v>15.85</v>
      </c>
      <c r="M496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_xlfn.XLOOKUP(C496,customers!$A$2:$A$1001,customers!$I$2:$I$1001,,0)</f>
        <v>No</v>
      </c>
    </row>
    <row r="497" spans="1:16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>
        <f>_xlfn.XLOOKUP(C497,customers!$A$1:$A$1001,customers!$C$1:$C$1001,,0)</f>
        <v>0</v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>
        <f>INDEX(products!$A$1:$G$49,MATCH(orders!$D497,products!$A$1:$A$49,0),MATCH(orders!K$1,products!$A$1:$G$1,0))</f>
        <v>1</v>
      </c>
      <c r="L497">
        <f>INDEX(products!$A$1:$G$49,MATCH(orders!$D497,products!$A$1:$A$49,0),MATCH(orders!L$1,products!$A$1:$G$1,0))</f>
        <v>15.85</v>
      </c>
      <c r="M497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_xlfn.XLOOKUP(C497,customers!$A$2:$A$1001,customers!$I$2:$I$1001,,0)</f>
        <v>Yes</v>
      </c>
    </row>
    <row r="498" spans="1:16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_xlfn.XLOOKUP(C498,customers!$A$1:$A$1001,customers!$C$1:$C$1001,,0)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>
        <f>INDEX(products!$A$1:$G$49,MATCH(orders!$D498,products!$A$1:$A$49,0),MATCH(orders!K$1,products!$A$1:$G$1,0))</f>
        <v>0.2</v>
      </c>
      <c r="L498">
        <f>INDEX(products!$A$1:$G$49,MATCH(orders!$D498,products!$A$1:$A$49,0),MATCH(orders!L$1,products!$A$1:$G$1,0))</f>
        <v>3.645</v>
      </c>
      <c r="M498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_xlfn.XLOOKUP(C498,customers!$A$2:$A$1001,customers!$I$2:$I$1001,,0)</f>
        <v>No</v>
      </c>
    </row>
    <row r="499" spans="1:16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_xlfn.XLOOKUP(C499,customers!$A$1:$A$1001,customers!$C$1:$C$1001,,0)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>
        <f>INDEX(products!$A$1:$G$49,MATCH(orders!$D499,products!$A$1:$A$49,0),MATCH(orders!K$1,products!$A$1:$G$1,0))</f>
        <v>1</v>
      </c>
      <c r="L499">
        <f>INDEX(products!$A$1:$G$49,MATCH(orders!$D499,products!$A$1:$A$49,0),MATCH(orders!L$1,products!$A$1:$G$1,0))</f>
        <v>9.9499999999999993</v>
      </c>
      <c r="M499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_xlfn.XLOOKUP(C499,customers!$A$2:$A$1001,customers!$I$2:$I$1001,,0)</f>
        <v>No</v>
      </c>
    </row>
    <row r="500" spans="1:16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_xlfn.XLOOKUP(C500,customers!$A$1:$A$1001,customers!$C$1:$C$1001,,0)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>
        <f>INDEX(products!$A$1:$G$49,MATCH(orders!$D500,products!$A$1:$A$49,0),MATCH(orders!K$1,products!$A$1:$G$1,0))</f>
        <v>1</v>
      </c>
      <c r="L500">
        <f>INDEX(products!$A$1:$G$49,MATCH(orders!$D500,products!$A$1:$A$49,0),MATCH(orders!L$1,products!$A$1:$G$1,0))</f>
        <v>9.9499999999999993</v>
      </c>
      <c r="M500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_xlfn.XLOOKUP(C500,customers!$A$2:$A$1001,customers!$I$2:$I$1001,,0)</f>
        <v>Yes</v>
      </c>
    </row>
    <row r="501" spans="1:16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>
        <f>_xlfn.XLOOKUP(C501,customers!$A$1:$A$1001,customers!$C$1:$C$1001,,0)</f>
        <v>0</v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>
        <f>INDEX(products!$A$1:$G$49,MATCH(orders!$D501,products!$A$1:$A$49,0),MATCH(orders!K$1,products!$A$1:$G$1,0))</f>
        <v>0.2</v>
      </c>
      <c r="L501">
        <f>INDEX(products!$A$1:$G$49,MATCH(orders!$D501,products!$A$1:$A$49,0),MATCH(orders!L$1,products!$A$1:$G$1,0))</f>
        <v>2.6849999999999996</v>
      </c>
      <c r="M501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_xlfn.XLOOKUP(C501,customers!$A$2:$A$1001,customers!$I$2:$I$1001,,0)</f>
        <v>Yes</v>
      </c>
    </row>
    <row r="502" spans="1:16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>
        <f>_xlfn.XLOOKUP(C502,customers!$A$1:$A$1001,customers!$C$1:$C$1001,,0)</f>
        <v>0</v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>
        <f>INDEX(products!$A$1:$G$49,MATCH(orders!$D502,products!$A$1:$A$49,0),MATCH(orders!K$1,products!$A$1:$G$1,0))</f>
        <v>1</v>
      </c>
      <c r="L502">
        <f>INDEX(products!$A$1:$G$49,MATCH(orders!$D502,products!$A$1:$A$49,0),MATCH(orders!L$1,products!$A$1:$G$1,0))</f>
        <v>11.95</v>
      </c>
      <c r="M502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_xlfn.XLOOKUP(C502,customers!$A$2:$A$1001,customers!$I$2:$I$1001,,0)</f>
        <v>No</v>
      </c>
    </row>
    <row r="503" spans="1:16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_xlfn.XLOOKUP(C503,customers!$A$1:$A$1001,customers!$C$1:$C$1001,,0)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>
        <f>INDEX(products!$A$1:$G$49,MATCH(orders!$D503,products!$A$1:$A$49,0),MATCH(orders!K$1,products!$A$1:$G$1,0))</f>
        <v>0.2</v>
      </c>
      <c r="L503">
        <f>INDEX(products!$A$1:$G$49,MATCH(orders!$D503,products!$A$1:$A$49,0),MATCH(orders!L$1,products!$A$1:$G$1,0))</f>
        <v>2.9849999999999999</v>
      </c>
      <c r="M503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_xlfn.XLOOKUP(C503,customers!$A$2:$A$1001,customers!$I$2:$I$1001,,0)</f>
        <v>No</v>
      </c>
    </row>
    <row r="504" spans="1:16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_xlfn.XLOOKUP(C504,customers!$A$1:$A$1001,customers!$C$1:$C$1001,,0)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>
        <f>INDEX(products!$A$1:$G$49,MATCH(orders!$D504,products!$A$1:$A$49,0),MATCH(orders!K$1,products!$A$1:$G$1,0))</f>
        <v>0.2</v>
      </c>
      <c r="L504">
        <f>INDEX(products!$A$1:$G$49,MATCH(orders!$D504,products!$A$1:$A$49,0),MATCH(orders!L$1,products!$A$1:$G$1,0))</f>
        <v>4.125</v>
      </c>
      <c r="M504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_xlfn.XLOOKUP(C504,customers!$A$2:$A$1001,customers!$I$2:$I$1001,,0)</f>
        <v>No</v>
      </c>
    </row>
    <row r="505" spans="1:16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_xlfn.XLOOKUP(C505,customers!$A$1:$A$1001,customers!$C$1:$C$1001,,0)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>
        <f>INDEX(products!$A$1:$G$49,MATCH(orders!$D505,products!$A$1:$A$49,0),MATCH(orders!K$1,products!$A$1:$G$1,0))</f>
        <v>1</v>
      </c>
      <c r="L505">
        <f>INDEX(products!$A$1:$G$49,MATCH(orders!$D505,products!$A$1:$A$49,0),MATCH(orders!L$1,products!$A$1:$G$1,0))</f>
        <v>12.95</v>
      </c>
      <c r="M50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_xlfn.XLOOKUP(C505,customers!$A$2:$A$1001,customers!$I$2:$I$1001,,0)</f>
        <v>No</v>
      </c>
    </row>
    <row r="506" spans="1:16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_xlfn.XLOOKUP(C506,customers!$A$1:$A$1001,customers!$C$1:$C$1001,,0)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>
        <f>INDEX(products!$A$1:$G$49,MATCH(orders!$D506,products!$A$1:$A$49,0),MATCH(orders!K$1,products!$A$1:$G$1,0))</f>
        <v>0.2</v>
      </c>
      <c r="L506">
        <f>INDEX(products!$A$1:$G$49,MATCH(orders!$D506,products!$A$1:$A$49,0),MATCH(orders!L$1,products!$A$1:$G$1,0))</f>
        <v>4.7549999999999999</v>
      </c>
      <c r="M506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_xlfn.XLOOKUP(C506,customers!$A$2:$A$1001,customers!$I$2:$I$1001,,0)</f>
        <v>No</v>
      </c>
    </row>
    <row r="507" spans="1:16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_xlfn.XLOOKUP(C507,customers!$A$1:$A$1001,customers!$C$1:$C$1001,,0)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>
        <f>INDEX(products!$A$1:$G$49,MATCH(orders!$D507,products!$A$1:$A$49,0),MATCH(orders!K$1,products!$A$1:$G$1,0))</f>
        <v>0.2</v>
      </c>
      <c r="L507">
        <f>INDEX(products!$A$1:$G$49,MATCH(orders!$D507,products!$A$1:$A$49,0),MATCH(orders!L$1,products!$A$1:$G$1,0))</f>
        <v>4.3650000000000002</v>
      </c>
      <c r="M507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_xlfn.XLOOKUP(C507,customers!$A$2:$A$1001,customers!$I$2:$I$1001,,0)</f>
        <v>No</v>
      </c>
    </row>
    <row r="508" spans="1:16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_xlfn.XLOOKUP(C508,customers!$A$1:$A$1001,customers!$C$1:$C$1001,,0)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>
        <f>INDEX(products!$A$1:$G$49,MATCH(orders!$D508,products!$A$1:$A$49,0),MATCH(orders!K$1,products!$A$1:$G$1,0))</f>
        <v>1</v>
      </c>
      <c r="L508">
        <f>INDEX(products!$A$1:$G$49,MATCH(orders!$D508,products!$A$1:$A$49,0),MATCH(orders!L$1,products!$A$1:$G$1,0))</f>
        <v>12.95</v>
      </c>
      <c r="M508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_xlfn.XLOOKUP(C508,customers!$A$2:$A$1001,customers!$I$2:$I$1001,,0)</f>
        <v>Yes</v>
      </c>
    </row>
    <row r="509" spans="1:16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_xlfn.XLOOKUP(C509,customers!$A$1:$A$1001,customers!$C$1:$C$1001,,0)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>
        <f>INDEX(products!$A$1:$G$49,MATCH(orders!$D509,products!$A$1:$A$49,0),MATCH(orders!K$1,products!$A$1:$G$1,0))</f>
        <v>2.5</v>
      </c>
      <c r="L509">
        <f>INDEX(products!$A$1:$G$49,MATCH(orders!$D509,products!$A$1:$A$49,0),MATCH(orders!L$1,products!$A$1:$G$1,0))</f>
        <v>29.784999999999997</v>
      </c>
      <c r="M509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_xlfn.XLOOKUP(C509,customers!$A$2:$A$1001,customers!$I$2:$I$1001,,0)</f>
        <v>Yes</v>
      </c>
    </row>
    <row r="510" spans="1:16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_xlfn.XLOOKUP(C510,customers!$A$1:$A$1001,customers!$C$1:$C$1001,,0)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>
        <f>INDEX(products!$A$1:$G$49,MATCH(orders!$D510,products!$A$1:$A$49,0),MATCH(orders!K$1,products!$A$1:$G$1,0))</f>
        <v>0.5</v>
      </c>
      <c r="L510">
        <f>INDEX(products!$A$1:$G$49,MATCH(orders!$D510,products!$A$1:$A$49,0),MATCH(orders!L$1,products!$A$1:$G$1,0))</f>
        <v>7.77</v>
      </c>
      <c r="M510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_xlfn.XLOOKUP(C510,customers!$A$2:$A$1001,customers!$I$2:$I$1001,,0)</f>
        <v>No</v>
      </c>
    </row>
    <row r="511" spans="1:16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_xlfn.XLOOKUP(C511,customers!$A$1:$A$1001,customers!$C$1:$C$1001,,0)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>
        <f>INDEX(products!$A$1:$G$49,MATCH(orders!$D511,products!$A$1:$A$49,0),MATCH(orders!K$1,products!$A$1:$G$1,0))</f>
        <v>1</v>
      </c>
      <c r="L511">
        <f>INDEX(products!$A$1:$G$49,MATCH(orders!$D511,products!$A$1:$A$49,0),MATCH(orders!L$1,products!$A$1:$G$1,0))</f>
        <v>9.9499999999999993</v>
      </c>
      <c r="M511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_xlfn.XLOOKUP(C511,customers!$A$2:$A$1001,customers!$I$2:$I$1001,,0)</f>
        <v>Yes</v>
      </c>
    </row>
    <row r="512" spans="1:16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_xlfn.XLOOKUP(C512,customers!$A$1:$A$1001,customers!$C$1:$C$1001,,0)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>
        <f>INDEX(products!$A$1:$G$49,MATCH(orders!$D512,products!$A$1:$A$49,0),MATCH(orders!K$1,products!$A$1:$G$1,0))</f>
        <v>0.2</v>
      </c>
      <c r="L512">
        <f>INDEX(products!$A$1:$G$49,MATCH(orders!$D512,products!$A$1:$A$49,0),MATCH(orders!L$1,products!$A$1:$G$1,0))</f>
        <v>3.5849999999999995</v>
      </c>
      <c r="M512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_xlfn.XLOOKUP(C512,customers!$A$2:$A$1001,customers!$I$2:$I$1001,,0)</f>
        <v>Yes</v>
      </c>
    </row>
    <row r="513" spans="1:16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_xlfn.XLOOKUP(C513,customers!$A$1:$A$1001,customers!$C$1:$C$1001,,0)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>
        <f>INDEX(products!$A$1:$G$49,MATCH(orders!$D513,products!$A$1:$A$49,0),MATCH(orders!K$1,products!$A$1:$G$1,0))</f>
        <v>0.2</v>
      </c>
      <c r="L513">
        <f>INDEX(products!$A$1:$G$49,MATCH(orders!$D513,products!$A$1:$A$49,0),MATCH(orders!L$1,products!$A$1:$G$1,0))</f>
        <v>3.375</v>
      </c>
      <c r="M513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_xlfn.XLOOKUP(C513,customers!$A$2:$A$1001,customers!$I$2:$I$1001,,0)</f>
        <v>Yes</v>
      </c>
    </row>
    <row r="514" spans="1:16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_xlfn.XLOOKUP(C514,customers!$A$1:$A$1001,customers!$C$1:$C$1001,,0)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>
        <f>INDEX(products!$A$1:$G$49,MATCH(orders!$D514,products!$A$1:$A$49,0),MATCH(orders!K$1,products!$A$1:$G$1,0))</f>
        <v>1</v>
      </c>
      <c r="L514">
        <f>INDEX(products!$A$1:$G$49,MATCH(orders!$D514,products!$A$1:$A$49,0),MATCH(orders!L$1,products!$A$1:$G$1,0))</f>
        <v>15.85</v>
      </c>
      <c r="M514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_xlfn.XLOOKUP(C514,customers!$A$2:$A$1001,customers!$I$2:$I$1001,,0)</f>
        <v>No</v>
      </c>
    </row>
    <row r="515" spans="1:16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_xlfn.XLOOKUP(C515,customers!$A$1:$A$1001,customers!$C$1:$C$1001,,0)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>
        <f>INDEX(products!$A$1:$G$49,MATCH(orders!$D515,products!$A$1:$A$49,0),MATCH(orders!K$1,products!$A$1:$G$1,0))</f>
        <v>1</v>
      </c>
      <c r="L515">
        <f>INDEX(products!$A$1:$G$49,MATCH(orders!$D515,products!$A$1:$A$49,0),MATCH(orders!L$1,products!$A$1:$G$1,0))</f>
        <v>15.85</v>
      </c>
      <c r="M515">
        <f t="shared" ref="M515:M578" si="24">L515*E515</f>
        <v>79.25</v>
      </c>
      <c r="N515" t="str">
        <f t="shared" ref="N515:N578" si="25">IF(I515="Rob","Robusta",IF(I515="Exc","Excelsa",IF(I515="Lib","Liberica",IF(I515="Ara","Arabica"))))</f>
        <v>Liberica</v>
      </c>
      <c r="O515" t="str">
        <f t="shared" si="23"/>
        <v>Light</v>
      </c>
      <c r="P515" t="str">
        <f>_xlfn.XLOOKUP(C515,customers!$A$2:$A$1001,customers!$I$2:$I$1001,,0)</f>
        <v>No</v>
      </c>
    </row>
    <row r="516" spans="1:16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_xlfn.XLOOKUP(C516,customers!$A$1:$A$1001,customers!$C$1:$C$1001,,0)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>
        <f>INDEX(products!$A$1:$G$49,MATCH(orders!$D516,products!$A$1:$A$49,0),MATCH(orders!K$1,products!$A$1:$G$1,0))</f>
        <v>0.2</v>
      </c>
      <c r="L516">
        <f>INDEX(products!$A$1:$G$49,MATCH(orders!$D516,products!$A$1:$A$49,0),MATCH(orders!L$1,products!$A$1:$G$1,0))</f>
        <v>4.3650000000000002</v>
      </c>
      <c r="M516">
        <f t="shared" si="24"/>
        <v>26.19</v>
      </c>
      <c r="N516" t="str">
        <f t="shared" si="25"/>
        <v>Liberica</v>
      </c>
      <c r="O516" t="str">
        <f t="shared" si="23"/>
        <v>Medium</v>
      </c>
      <c r="P516" t="str">
        <f>_xlfn.XLOOKUP(C516,customers!$A$2:$A$1001,customers!$I$2:$I$1001,,0)</f>
        <v>Yes</v>
      </c>
    </row>
    <row r="517" spans="1:16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_xlfn.XLOOKUP(C517,customers!$A$1:$A$1001,customers!$C$1:$C$1001,,0)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>
        <f>INDEX(products!$A$1:$G$49,MATCH(orders!$D517,products!$A$1:$A$49,0),MATCH(orders!K$1,products!$A$1:$G$1,0))</f>
        <v>0.5</v>
      </c>
      <c r="L517">
        <f>INDEX(products!$A$1:$G$49,MATCH(orders!$D517,products!$A$1:$A$49,0),MATCH(orders!L$1,products!$A$1:$G$1,0))</f>
        <v>7.169999999999999</v>
      </c>
      <c r="M517">
        <f t="shared" si="24"/>
        <v>21.509999999999998</v>
      </c>
      <c r="N517" t="str">
        <f t="shared" si="25"/>
        <v>Robusta</v>
      </c>
      <c r="O517" t="str">
        <f t="shared" ref="O517:O580" si="26">IF(J517="L","Light",IF(J517="M","Medium",IF(J517="D","Dark")))</f>
        <v>Light</v>
      </c>
      <c r="P517" t="str">
        <f>_xlfn.XLOOKUP(C517,customers!$A$2:$A$1001,customers!$I$2:$I$1001,,0)</f>
        <v>No</v>
      </c>
    </row>
    <row r="518" spans="1:16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>
        <f>_xlfn.XLOOKUP(C518,customers!$A$1:$A$1001,customers!$C$1:$C$1001,,0)</f>
        <v>0</v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>
        <f>INDEX(products!$A$1:$G$49,MATCH(orders!$D518,products!$A$1:$A$49,0),MATCH(orders!K$1,products!$A$1:$G$1,0))</f>
        <v>2.5</v>
      </c>
      <c r="L518">
        <f>INDEX(products!$A$1:$G$49,MATCH(orders!$D518,products!$A$1:$A$49,0),MATCH(orders!L$1,products!$A$1:$G$1,0))</f>
        <v>20.584999999999997</v>
      </c>
      <c r="M518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_xlfn.XLOOKUP(C518,customers!$A$2:$A$1001,customers!$I$2:$I$1001,,0)</f>
        <v>Yes</v>
      </c>
    </row>
    <row r="519" spans="1:16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>
        <f>_xlfn.XLOOKUP(C519,customers!$A$1:$A$1001,customers!$C$1:$C$1001,,0)</f>
        <v>0</v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>
        <f>INDEX(products!$A$1:$G$49,MATCH(orders!$D519,products!$A$1:$A$49,0),MATCH(orders!K$1,products!$A$1:$G$1,0))</f>
        <v>0.2</v>
      </c>
      <c r="L519">
        <f>INDEX(products!$A$1:$G$49,MATCH(orders!$D519,products!$A$1:$A$49,0),MATCH(orders!L$1,products!$A$1:$G$1,0))</f>
        <v>3.8849999999999998</v>
      </c>
      <c r="M519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_xlfn.XLOOKUP(C519,customers!$A$2:$A$1001,customers!$I$2:$I$1001,,0)</f>
        <v>No</v>
      </c>
    </row>
    <row r="520" spans="1:16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_xlfn.XLOOKUP(C520,customers!$A$1:$A$1001,customers!$C$1:$C$1001,,0)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>
        <f>INDEX(products!$A$1:$G$49,MATCH(orders!$D520,products!$A$1:$A$49,0),MATCH(orders!K$1,products!$A$1:$G$1,0))</f>
        <v>2.5</v>
      </c>
      <c r="L520">
        <f>INDEX(products!$A$1:$G$49,MATCH(orders!$D520,products!$A$1:$A$49,0),MATCH(orders!L$1,products!$A$1:$G$1,0))</f>
        <v>27.945</v>
      </c>
      <c r="M520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_xlfn.XLOOKUP(C520,customers!$A$2:$A$1001,customers!$I$2:$I$1001,,0)</f>
        <v>No</v>
      </c>
    </row>
    <row r="521" spans="1:16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_xlfn.XLOOKUP(C521,customers!$A$1:$A$1001,customers!$C$1:$C$1001,,0)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>
        <f>INDEX(products!$A$1:$G$49,MATCH(orders!$D521,products!$A$1:$A$49,0),MATCH(orders!K$1,products!$A$1:$G$1,0))</f>
        <v>0.5</v>
      </c>
      <c r="L521">
        <f>INDEX(products!$A$1:$G$49,MATCH(orders!$D521,products!$A$1:$A$49,0),MATCH(orders!L$1,products!$A$1:$G$1,0))</f>
        <v>5.97</v>
      </c>
      <c r="M521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_xlfn.XLOOKUP(C521,customers!$A$2:$A$1001,customers!$I$2:$I$1001,,0)</f>
        <v>Yes</v>
      </c>
    </row>
    <row r="522" spans="1:16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_xlfn.XLOOKUP(C522,customers!$A$1:$A$1001,customers!$C$1:$C$1001,,0)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>
        <f>INDEX(products!$A$1:$G$49,MATCH(orders!$D522,products!$A$1:$A$49,0),MATCH(orders!K$1,products!$A$1:$G$1,0))</f>
        <v>0.2</v>
      </c>
      <c r="L522">
        <f>INDEX(products!$A$1:$G$49,MATCH(orders!$D522,products!$A$1:$A$49,0),MATCH(orders!L$1,products!$A$1:$G$1,0))</f>
        <v>3.8849999999999998</v>
      </c>
      <c r="M522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_xlfn.XLOOKUP(C522,customers!$A$2:$A$1001,customers!$I$2:$I$1001,,0)</f>
        <v>No</v>
      </c>
    </row>
    <row r="523" spans="1:16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_xlfn.XLOOKUP(C523,customers!$A$1:$A$1001,customers!$C$1:$C$1001,,0)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>
        <f>INDEX(products!$A$1:$G$49,MATCH(orders!$D523,products!$A$1:$A$49,0),MATCH(orders!K$1,products!$A$1:$G$1,0))</f>
        <v>1</v>
      </c>
      <c r="L523">
        <f>INDEX(products!$A$1:$G$49,MATCH(orders!$D523,products!$A$1:$A$49,0),MATCH(orders!L$1,products!$A$1:$G$1,0))</f>
        <v>9.9499999999999993</v>
      </c>
      <c r="M523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_xlfn.XLOOKUP(C523,customers!$A$2:$A$1001,customers!$I$2:$I$1001,,0)</f>
        <v>No</v>
      </c>
    </row>
    <row r="524" spans="1:16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_xlfn.XLOOKUP(C524,customers!$A$1:$A$1001,customers!$C$1:$C$1001,,0)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>
        <f>INDEX(products!$A$1:$G$49,MATCH(orders!$D524,products!$A$1:$A$49,0),MATCH(orders!K$1,products!$A$1:$G$1,0))</f>
        <v>0.5</v>
      </c>
      <c r="L524">
        <f>INDEX(products!$A$1:$G$49,MATCH(orders!$D524,products!$A$1:$A$49,0),MATCH(orders!L$1,products!$A$1:$G$1,0))</f>
        <v>5.97</v>
      </c>
      <c r="M524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_xlfn.XLOOKUP(C524,customers!$A$2:$A$1001,customers!$I$2:$I$1001,,0)</f>
        <v>No</v>
      </c>
    </row>
    <row r="525" spans="1:16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_xlfn.XLOOKUP(C525,customers!$A$1:$A$1001,customers!$C$1:$C$1001,,0)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>
        <f>INDEX(products!$A$1:$G$49,MATCH(orders!$D525,products!$A$1:$A$49,0),MATCH(orders!K$1,products!$A$1:$G$1,0))</f>
        <v>2.5</v>
      </c>
      <c r="L525">
        <f>INDEX(products!$A$1:$G$49,MATCH(orders!$D525,products!$A$1:$A$49,0),MATCH(orders!L$1,products!$A$1:$G$1,0))</f>
        <v>29.784999999999997</v>
      </c>
      <c r="M52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_xlfn.XLOOKUP(C525,customers!$A$2:$A$1001,customers!$I$2:$I$1001,,0)</f>
        <v>No</v>
      </c>
    </row>
    <row r="526" spans="1:16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>
        <f>_xlfn.XLOOKUP(C526,customers!$A$1:$A$1001,customers!$C$1:$C$1001,,0)</f>
        <v>0</v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>
        <f>INDEX(products!$A$1:$G$49,MATCH(orders!$D526,products!$A$1:$A$49,0),MATCH(orders!K$1,products!$A$1:$G$1,0))</f>
        <v>2.5</v>
      </c>
      <c r="L526">
        <f>INDEX(products!$A$1:$G$49,MATCH(orders!$D526,products!$A$1:$A$49,0),MATCH(orders!L$1,products!$A$1:$G$1,0))</f>
        <v>36.454999999999998</v>
      </c>
      <c r="M526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_xlfn.XLOOKUP(C526,customers!$A$2:$A$1001,customers!$I$2:$I$1001,,0)</f>
        <v>No</v>
      </c>
    </row>
    <row r="527" spans="1:16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>
        <f>_xlfn.XLOOKUP(C527,customers!$A$1:$A$1001,customers!$C$1:$C$1001,,0)</f>
        <v>0</v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>
        <f>INDEX(products!$A$1:$G$49,MATCH(orders!$D527,products!$A$1:$A$49,0),MATCH(orders!K$1,products!$A$1:$G$1,0))</f>
        <v>0.2</v>
      </c>
      <c r="L527">
        <f>INDEX(products!$A$1:$G$49,MATCH(orders!$D527,products!$A$1:$A$49,0),MATCH(orders!L$1,products!$A$1:$G$1,0))</f>
        <v>2.6849999999999996</v>
      </c>
      <c r="M527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_xlfn.XLOOKUP(C527,customers!$A$2:$A$1001,customers!$I$2:$I$1001,,0)</f>
        <v>Yes</v>
      </c>
    </row>
    <row r="528" spans="1:16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_xlfn.XLOOKUP(C528,customers!$A$1:$A$1001,customers!$C$1:$C$1001,,0)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>
        <f>INDEX(products!$A$1:$G$49,MATCH(orders!$D528,products!$A$1:$A$49,0),MATCH(orders!K$1,products!$A$1:$G$1,0))</f>
        <v>2.5</v>
      </c>
      <c r="L528">
        <f>INDEX(products!$A$1:$G$49,MATCH(orders!$D528,products!$A$1:$A$49,0),MATCH(orders!L$1,products!$A$1:$G$1,0))</f>
        <v>31.624999999999996</v>
      </c>
      <c r="M528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_xlfn.XLOOKUP(C528,customers!$A$2:$A$1001,customers!$I$2:$I$1001,,0)</f>
        <v>Yes</v>
      </c>
    </row>
    <row r="529" spans="1:16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_xlfn.XLOOKUP(C529,customers!$A$1:$A$1001,customers!$C$1:$C$1001,,0)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>
        <f>INDEX(products!$A$1:$G$49,MATCH(orders!$D529,products!$A$1:$A$49,0),MATCH(orders!K$1,products!$A$1:$G$1,0))</f>
        <v>0.5</v>
      </c>
      <c r="L529">
        <f>INDEX(products!$A$1:$G$49,MATCH(orders!$D529,products!$A$1:$A$49,0),MATCH(orders!L$1,products!$A$1:$G$1,0))</f>
        <v>8.25</v>
      </c>
      <c r="M529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_xlfn.XLOOKUP(C529,customers!$A$2:$A$1001,customers!$I$2:$I$1001,,0)</f>
        <v>No</v>
      </c>
    </row>
    <row r="530" spans="1:16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_xlfn.XLOOKUP(C530,customers!$A$1:$A$1001,customers!$C$1:$C$1001,,0)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>
        <f>INDEX(products!$A$1:$G$49,MATCH(orders!$D530,products!$A$1:$A$49,0),MATCH(orders!K$1,products!$A$1:$G$1,0))</f>
        <v>0.5</v>
      </c>
      <c r="L530">
        <f>INDEX(products!$A$1:$G$49,MATCH(orders!$D530,products!$A$1:$A$49,0),MATCH(orders!L$1,products!$A$1:$G$1,0))</f>
        <v>8.91</v>
      </c>
      <c r="M530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_xlfn.XLOOKUP(C530,customers!$A$2:$A$1001,customers!$I$2:$I$1001,,0)</f>
        <v>No</v>
      </c>
    </row>
    <row r="531" spans="1:16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_xlfn.XLOOKUP(C531,customers!$A$1:$A$1001,customers!$C$1:$C$1001,,0)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>
        <f>INDEX(products!$A$1:$G$49,MATCH(orders!$D531,products!$A$1:$A$49,0),MATCH(orders!K$1,products!$A$1:$G$1,0))</f>
        <v>1</v>
      </c>
      <c r="L531">
        <f>INDEX(products!$A$1:$G$49,MATCH(orders!$D531,products!$A$1:$A$49,0),MATCH(orders!L$1,products!$A$1:$G$1,0))</f>
        <v>9.9499999999999993</v>
      </c>
      <c r="M531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_xlfn.XLOOKUP(C531,customers!$A$2:$A$1001,customers!$I$2:$I$1001,,0)</f>
        <v>No</v>
      </c>
    </row>
    <row r="532" spans="1:16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_xlfn.XLOOKUP(C532,customers!$A$1:$A$1001,customers!$C$1:$C$1001,,0)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>
        <f>INDEX(products!$A$1:$G$49,MATCH(orders!$D532,products!$A$1:$A$49,0),MATCH(orders!K$1,products!$A$1:$G$1,0))</f>
        <v>1</v>
      </c>
      <c r="L532">
        <f>INDEX(products!$A$1:$G$49,MATCH(orders!$D532,products!$A$1:$A$49,0),MATCH(orders!L$1,products!$A$1:$G$1,0))</f>
        <v>9.9499999999999993</v>
      </c>
      <c r="M532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_xlfn.XLOOKUP(C532,customers!$A$2:$A$1001,customers!$I$2:$I$1001,,0)</f>
        <v>No</v>
      </c>
    </row>
    <row r="533" spans="1:16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_xlfn.XLOOKUP(C533,customers!$A$1:$A$1001,customers!$C$1:$C$1001,,0)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>
        <f>INDEX(products!$A$1:$G$49,MATCH(orders!$D533,products!$A$1:$A$49,0),MATCH(orders!K$1,products!$A$1:$G$1,0))</f>
        <v>1</v>
      </c>
      <c r="L533">
        <f>INDEX(products!$A$1:$G$49,MATCH(orders!$D533,products!$A$1:$A$49,0),MATCH(orders!L$1,products!$A$1:$G$1,0))</f>
        <v>8.9499999999999993</v>
      </c>
      <c r="M533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_xlfn.XLOOKUP(C533,customers!$A$2:$A$1001,customers!$I$2:$I$1001,,0)</f>
        <v>No</v>
      </c>
    </row>
    <row r="534" spans="1:16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_xlfn.XLOOKUP(C534,customers!$A$1:$A$1001,customers!$C$1:$C$1001,,0)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>
        <f>INDEX(products!$A$1:$G$49,MATCH(orders!$D534,products!$A$1:$A$49,0),MATCH(orders!K$1,products!$A$1:$G$1,0))</f>
        <v>0.5</v>
      </c>
      <c r="L534">
        <f>INDEX(products!$A$1:$G$49,MATCH(orders!$D534,products!$A$1:$A$49,0),MATCH(orders!L$1,products!$A$1:$G$1,0))</f>
        <v>8.25</v>
      </c>
      <c r="M534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_xlfn.XLOOKUP(C534,customers!$A$2:$A$1001,customers!$I$2:$I$1001,,0)</f>
        <v>Yes</v>
      </c>
    </row>
    <row r="535" spans="1:16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>
        <f>_xlfn.XLOOKUP(C535,customers!$A$1:$A$1001,customers!$C$1:$C$1001,,0)</f>
        <v>0</v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>
        <f>INDEX(products!$A$1:$G$49,MATCH(orders!$D535,products!$A$1:$A$49,0),MATCH(orders!K$1,products!$A$1:$G$1,0))</f>
        <v>0.5</v>
      </c>
      <c r="L535">
        <f>INDEX(products!$A$1:$G$49,MATCH(orders!$D535,products!$A$1:$A$49,0),MATCH(orders!L$1,products!$A$1:$G$1,0))</f>
        <v>5.3699999999999992</v>
      </c>
      <c r="M53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_xlfn.XLOOKUP(C535,customers!$A$2:$A$1001,customers!$I$2:$I$1001,,0)</f>
        <v>No</v>
      </c>
    </row>
    <row r="536" spans="1:16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_xlfn.XLOOKUP(C536,customers!$A$1:$A$1001,customers!$C$1:$C$1001,,0)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>
        <f>INDEX(products!$A$1:$G$49,MATCH(orders!$D536,products!$A$1:$A$49,0),MATCH(orders!K$1,products!$A$1:$G$1,0))</f>
        <v>2.5</v>
      </c>
      <c r="L536">
        <f>INDEX(products!$A$1:$G$49,MATCH(orders!$D536,products!$A$1:$A$49,0),MATCH(orders!L$1,products!$A$1:$G$1,0))</f>
        <v>22.884999999999998</v>
      </c>
      <c r="M536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_xlfn.XLOOKUP(C536,customers!$A$2:$A$1001,customers!$I$2:$I$1001,,0)</f>
        <v>Yes</v>
      </c>
    </row>
    <row r="537" spans="1:16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>
        <f>_xlfn.XLOOKUP(C537,customers!$A$1:$A$1001,customers!$C$1:$C$1001,,0)</f>
        <v>0</v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>
        <f>INDEX(products!$A$1:$G$49,MATCH(orders!$D537,products!$A$1:$A$49,0),MATCH(orders!K$1,products!$A$1:$G$1,0))</f>
        <v>0.2</v>
      </c>
      <c r="L537">
        <f>INDEX(products!$A$1:$G$49,MATCH(orders!$D537,products!$A$1:$A$49,0),MATCH(orders!L$1,products!$A$1:$G$1,0))</f>
        <v>4.7549999999999999</v>
      </c>
      <c r="M537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_xlfn.XLOOKUP(C537,customers!$A$2:$A$1001,customers!$I$2:$I$1001,,0)</f>
        <v>No</v>
      </c>
    </row>
    <row r="538" spans="1:16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_xlfn.XLOOKUP(C538,customers!$A$1:$A$1001,customers!$C$1:$C$1001,,0)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>
        <f>INDEX(products!$A$1:$G$49,MATCH(orders!$D538,products!$A$1:$A$49,0),MATCH(orders!K$1,products!$A$1:$G$1,0))</f>
        <v>0.2</v>
      </c>
      <c r="L538">
        <f>INDEX(products!$A$1:$G$49,MATCH(orders!$D538,products!$A$1:$A$49,0),MATCH(orders!L$1,products!$A$1:$G$1,0))</f>
        <v>2.6849999999999996</v>
      </c>
      <c r="M538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_xlfn.XLOOKUP(C538,customers!$A$2:$A$1001,customers!$I$2:$I$1001,,0)</f>
        <v>Yes</v>
      </c>
    </row>
    <row r="539" spans="1:16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_xlfn.XLOOKUP(C539,customers!$A$1:$A$1001,customers!$C$1:$C$1001,,0)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>
        <f>INDEX(products!$A$1:$G$49,MATCH(orders!$D539,products!$A$1:$A$49,0),MATCH(orders!K$1,products!$A$1:$G$1,0))</f>
        <v>2.5</v>
      </c>
      <c r="L539">
        <f>INDEX(products!$A$1:$G$49,MATCH(orders!$D539,products!$A$1:$A$49,0),MATCH(orders!L$1,products!$A$1:$G$1,0))</f>
        <v>27.945</v>
      </c>
      <c r="M539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_xlfn.XLOOKUP(C539,customers!$A$2:$A$1001,customers!$I$2:$I$1001,,0)</f>
        <v>Yes</v>
      </c>
    </row>
    <row r="540" spans="1:16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_xlfn.XLOOKUP(C540,customers!$A$1:$A$1001,customers!$C$1:$C$1001,,0)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>
        <f>INDEX(products!$A$1:$G$49,MATCH(orders!$D540,products!$A$1:$A$49,0),MATCH(orders!K$1,products!$A$1:$G$1,0))</f>
        <v>0.2</v>
      </c>
      <c r="L540">
        <f>INDEX(products!$A$1:$G$49,MATCH(orders!$D540,products!$A$1:$A$49,0),MATCH(orders!L$1,products!$A$1:$G$1,0))</f>
        <v>2.6849999999999996</v>
      </c>
      <c r="M540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_xlfn.XLOOKUP(C540,customers!$A$2:$A$1001,customers!$I$2:$I$1001,,0)</f>
        <v>Yes</v>
      </c>
    </row>
    <row r="541" spans="1:16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_xlfn.XLOOKUP(C541,customers!$A$1:$A$1001,customers!$C$1:$C$1001,,0)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>
        <f>INDEX(products!$A$1:$G$49,MATCH(orders!$D541,products!$A$1:$A$49,0),MATCH(orders!K$1,products!$A$1:$G$1,0))</f>
        <v>0.5</v>
      </c>
      <c r="L541">
        <f>INDEX(products!$A$1:$G$49,MATCH(orders!$D541,products!$A$1:$A$49,0),MATCH(orders!L$1,products!$A$1:$G$1,0))</f>
        <v>5.3699999999999992</v>
      </c>
      <c r="M541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_xlfn.XLOOKUP(C541,customers!$A$2:$A$1001,customers!$I$2:$I$1001,,0)</f>
        <v>No</v>
      </c>
    </row>
    <row r="542" spans="1:16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_xlfn.XLOOKUP(C542,customers!$A$1:$A$1001,customers!$C$1:$C$1001,,0)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>
        <f>INDEX(products!$A$1:$G$49,MATCH(orders!$D542,products!$A$1:$A$49,0),MATCH(orders!K$1,products!$A$1:$G$1,0))</f>
        <v>1</v>
      </c>
      <c r="L542">
        <f>INDEX(products!$A$1:$G$49,MATCH(orders!$D542,products!$A$1:$A$49,0),MATCH(orders!L$1,products!$A$1:$G$1,0))</f>
        <v>15.85</v>
      </c>
      <c r="M542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_xlfn.XLOOKUP(C542,customers!$A$2:$A$1001,customers!$I$2:$I$1001,,0)</f>
        <v>Yes</v>
      </c>
    </row>
    <row r="543" spans="1:16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>
        <f>_xlfn.XLOOKUP(C543,customers!$A$1:$A$1001,customers!$C$1:$C$1001,,0)</f>
        <v>0</v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>
        <f>INDEX(products!$A$1:$G$49,MATCH(orders!$D543,products!$A$1:$A$49,0),MATCH(orders!K$1,products!$A$1:$G$1,0))</f>
        <v>2.5</v>
      </c>
      <c r="L543">
        <f>INDEX(products!$A$1:$G$49,MATCH(orders!$D543,products!$A$1:$A$49,0),MATCH(orders!L$1,products!$A$1:$G$1,0))</f>
        <v>22.884999999999998</v>
      </c>
      <c r="M543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_xlfn.XLOOKUP(C543,customers!$A$2:$A$1001,customers!$I$2:$I$1001,,0)</f>
        <v>Yes</v>
      </c>
    </row>
    <row r="544" spans="1:16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_xlfn.XLOOKUP(C544,customers!$A$1:$A$1001,customers!$C$1:$C$1001,,0)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>
        <f>INDEX(products!$A$1:$G$49,MATCH(orders!$D544,products!$A$1:$A$49,0),MATCH(orders!K$1,products!$A$1:$G$1,0))</f>
        <v>2.5</v>
      </c>
      <c r="L544">
        <f>INDEX(products!$A$1:$G$49,MATCH(orders!$D544,products!$A$1:$A$49,0),MATCH(orders!L$1,products!$A$1:$G$1,0))</f>
        <v>25.874999999999996</v>
      </c>
      <c r="M544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_xlfn.XLOOKUP(C544,customers!$A$2:$A$1001,customers!$I$2:$I$1001,,0)</f>
        <v>No</v>
      </c>
    </row>
    <row r="545" spans="1:16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_xlfn.XLOOKUP(C545,customers!$A$1:$A$1001,customers!$C$1:$C$1001,,0)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>
        <f>INDEX(products!$A$1:$G$49,MATCH(orders!$D545,products!$A$1:$A$49,0),MATCH(orders!K$1,products!$A$1:$G$1,0))</f>
        <v>2.5</v>
      </c>
      <c r="L545">
        <f>INDEX(products!$A$1:$G$49,MATCH(orders!$D545,products!$A$1:$A$49,0),MATCH(orders!L$1,products!$A$1:$G$1,0))</f>
        <v>27.484999999999996</v>
      </c>
      <c r="M54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_xlfn.XLOOKUP(C545,customers!$A$2:$A$1001,customers!$I$2:$I$1001,,0)</f>
        <v>No</v>
      </c>
    </row>
    <row r="546" spans="1:16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_xlfn.XLOOKUP(C546,customers!$A$1:$A$1001,customers!$C$1:$C$1001,,0)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>
        <f>INDEX(products!$A$1:$G$49,MATCH(orders!$D546,products!$A$1:$A$49,0),MATCH(orders!K$1,products!$A$1:$G$1,0))</f>
        <v>0.5</v>
      </c>
      <c r="L546">
        <f>INDEX(products!$A$1:$G$49,MATCH(orders!$D546,products!$A$1:$A$49,0),MATCH(orders!L$1,products!$A$1:$G$1,0))</f>
        <v>7.77</v>
      </c>
      <c r="M546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_xlfn.XLOOKUP(C546,customers!$A$2:$A$1001,customers!$I$2:$I$1001,,0)</f>
        <v>No</v>
      </c>
    </row>
    <row r="547" spans="1:16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_xlfn.XLOOKUP(C547,customers!$A$1:$A$1001,customers!$C$1:$C$1001,,0)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>
        <f>INDEX(products!$A$1:$G$49,MATCH(orders!$D547,products!$A$1:$A$49,0),MATCH(orders!K$1,products!$A$1:$G$1,0))</f>
        <v>0.2</v>
      </c>
      <c r="L547">
        <f>INDEX(products!$A$1:$G$49,MATCH(orders!$D547,products!$A$1:$A$49,0),MATCH(orders!L$1,products!$A$1:$G$1,0))</f>
        <v>3.8849999999999998</v>
      </c>
      <c r="M547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_xlfn.XLOOKUP(C547,customers!$A$2:$A$1001,customers!$I$2:$I$1001,,0)</f>
        <v>No</v>
      </c>
    </row>
    <row r="548" spans="1:16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>
        <f>_xlfn.XLOOKUP(C548,customers!$A$1:$A$1001,customers!$C$1:$C$1001,,0)</f>
        <v>0</v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>
        <f>INDEX(products!$A$1:$G$49,MATCH(orders!$D548,products!$A$1:$A$49,0),MATCH(orders!K$1,products!$A$1:$G$1,0))</f>
        <v>2.5</v>
      </c>
      <c r="L548">
        <f>INDEX(products!$A$1:$G$49,MATCH(orders!$D548,products!$A$1:$A$49,0),MATCH(orders!L$1,products!$A$1:$G$1,0))</f>
        <v>27.945</v>
      </c>
      <c r="M548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_xlfn.XLOOKUP(C548,customers!$A$2:$A$1001,customers!$I$2:$I$1001,,0)</f>
        <v>No</v>
      </c>
    </row>
    <row r="549" spans="1:16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_xlfn.XLOOKUP(C549,customers!$A$1:$A$1001,customers!$C$1:$C$1001,,0)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>
        <f>INDEX(products!$A$1:$G$49,MATCH(orders!$D549,products!$A$1:$A$49,0),MATCH(orders!K$1,products!$A$1:$G$1,0))</f>
        <v>0.2</v>
      </c>
      <c r="L549">
        <f>INDEX(products!$A$1:$G$49,MATCH(orders!$D549,products!$A$1:$A$49,0),MATCH(orders!L$1,products!$A$1:$G$1,0))</f>
        <v>3.5849999999999995</v>
      </c>
      <c r="M549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_xlfn.XLOOKUP(C549,customers!$A$2:$A$1001,customers!$I$2:$I$1001,,0)</f>
        <v>Yes</v>
      </c>
    </row>
    <row r="550" spans="1:16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_xlfn.XLOOKUP(C550,customers!$A$1:$A$1001,customers!$C$1:$C$1001,,0)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>
        <f>INDEX(products!$A$1:$G$49,MATCH(orders!$D550,products!$A$1:$A$49,0),MATCH(orders!K$1,products!$A$1:$G$1,0))</f>
        <v>0.2</v>
      </c>
      <c r="L550">
        <f>INDEX(products!$A$1:$G$49,MATCH(orders!$D550,products!$A$1:$A$49,0),MATCH(orders!L$1,products!$A$1:$G$1,0))</f>
        <v>4.4550000000000001</v>
      </c>
      <c r="M550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_xlfn.XLOOKUP(C550,customers!$A$2:$A$1001,customers!$I$2:$I$1001,,0)</f>
        <v>Yes</v>
      </c>
    </row>
    <row r="551" spans="1:16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_xlfn.XLOOKUP(C551,customers!$A$1:$A$1001,customers!$C$1:$C$1001,,0)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>
        <f>INDEX(products!$A$1:$G$49,MATCH(orders!$D551,products!$A$1:$A$49,0),MATCH(orders!K$1,products!$A$1:$G$1,0))</f>
        <v>0.2</v>
      </c>
      <c r="L551">
        <f>INDEX(products!$A$1:$G$49,MATCH(orders!$D551,products!$A$1:$A$49,0),MATCH(orders!L$1,products!$A$1:$G$1,0))</f>
        <v>4.4550000000000001</v>
      </c>
      <c r="M551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_xlfn.XLOOKUP(C551,customers!$A$2:$A$1001,customers!$I$2:$I$1001,,0)</f>
        <v>Yes</v>
      </c>
    </row>
    <row r="552" spans="1:16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_xlfn.XLOOKUP(C552,customers!$A$1:$A$1001,customers!$C$1:$C$1001,,0)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>
        <f>INDEX(products!$A$1:$G$49,MATCH(orders!$D552,products!$A$1:$A$49,0),MATCH(orders!K$1,products!$A$1:$G$1,0))</f>
        <v>0.2</v>
      </c>
      <c r="L552">
        <f>INDEX(products!$A$1:$G$49,MATCH(orders!$D552,products!$A$1:$A$49,0),MATCH(orders!L$1,products!$A$1:$G$1,0))</f>
        <v>3.8849999999999998</v>
      </c>
      <c r="M552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_xlfn.XLOOKUP(C552,customers!$A$2:$A$1001,customers!$I$2:$I$1001,,0)</f>
        <v>Yes</v>
      </c>
    </row>
    <row r="553" spans="1:16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_xlfn.XLOOKUP(C553,customers!$A$1:$A$1001,customers!$C$1:$C$1001,,0)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>
        <f>INDEX(products!$A$1:$G$49,MATCH(orders!$D553,products!$A$1:$A$49,0),MATCH(orders!K$1,products!$A$1:$G$1,0))</f>
        <v>0.2</v>
      </c>
      <c r="L553">
        <f>INDEX(products!$A$1:$G$49,MATCH(orders!$D553,products!$A$1:$A$49,0),MATCH(orders!L$1,products!$A$1:$G$1,0))</f>
        <v>3.645</v>
      </c>
      <c r="M553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_xlfn.XLOOKUP(C553,customers!$A$2:$A$1001,customers!$I$2:$I$1001,,0)</f>
        <v>No</v>
      </c>
    </row>
    <row r="554" spans="1:16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_xlfn.XLOOKUP(C554,customers!$A$1:$A$1001,customers!$C$1:$C$1001,,0)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>
        <f>INDEX(products!$A$1:$G$49,MATCH(orders!$D554,products!$A$1:$A$49,0),MATCH(orders!K$1,products!$A$1:$G$1,0))</f>
        <v>0.2</v>
      </c>
      <c r="L554">
        <f>INDEX(products!$A$1:$G$49,MATCH(orders!$D554,products!$A$1:$A$49,0),MATCH(orders!L$1,products!$A$1:$G$1,0))</f>
        <v>4.4550000000000001</v>
      </c>
      <c r="M554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_xlfn.XLOOKUP(C554,customers!$A$2:$A$1001,customers!$I$2:$I$1001,,0)</f>
        <v>Yes</v>
      </c>
    </row>
    <row r="555" spans="1:16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_xlfn.XLOOKUP(C555,customers!$A$1:$A$1001,customers!$C$1:$C$1001,,0)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>
        <f>INDEX(products!$A$1:$G$49,MATCH(orders!$D555,products!$A$1:$A$49,0),MATCH(orders!K$1,products!$A$1:$G$1,0))</f>
        <v>1</v>
      </c>
      <c r="L555">
        <f>INDEX(products!$A$1:$G$49,MATCH(orders!$D555,products!$A$1:$A$49,0),MATCH(orders!L$1,products!$A$1:$G$1,0))</f>
        <v>13.75</v>
      </c>
      <c r="M55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_xlfn.XLOOKUP(C555,customers!$A$2:$A$1001,customers!$I$2:$I$1001,,0)</f>
        <v>No</v>
      </c>
    </row>
    <row r="556" spans="1:16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>
        <f>_xlfn.XLOOKUP(C556,customers!$A$1:$A$1001,customers!$C$1:$C$1001,,0)</f>
        <v>0</v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>
        <f>INDEX(products!$A$1:$G$49,MATCH(orders!$D556,products!$A$1:$A$49,0),MATCH(orders!K$1,products!$A$1:$G$1,0))</f>
        <v>2.5</v>
      </c>
      <c r="L556">
        <f>INDEX(products!$A$1:$G$49,MATCH(orders!$D556,products!$A$1:$A$49,0),MATCH(orders!L$1,products!$A$1:$G$1,0))</f>
        <v>27.484999999999996</v>
      </c>
      <c r="M556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_xlfn.XLOOKUP(C556,customers!$A$2:$A$1001,customers!$I$2:$I$1001,,0)</f>
        <v>Yes</v>
      </c>
    </row>
    <row r="557" spans="1:16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_xlfn.XLOOKUP(C557,customers!$A$1:$A$1001,customers!$C$1:$C$1001,,0)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>
        <f>INDEX(products!$A$1:$G$49,MATCH(orders!$D557,products!$A$1:$A$49,0),MATCH(orders!K$1,products!$A$1:$G$1,0))</f>
        <v>1</v>
      </c>
      <c r="L557">
        <f>INDEX(products!$A$1:$G$49,MATCH(orders!$D557,products!$A$1:$A$49,0),MATCH(orders!L$1,products!$A$1:$G$1,0))</f>
        <v>13.75</v>
      </c>
      <c r="M557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_xlfn.XLOOKUP(C557,customers!$A$2:$A$1001,customers!$I$2:$I$1001,,0)</f>
        <v>No</v>
      </c>
    </row>
    <row r="558" spans="1:16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_xlfn.XLOOKUP(C558,customers!$A$1:$A$1001,customers!$C$1:$C$1001,,0)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>
        <f>INDEX(products!$A$1:$G$49,MATCH(orders!$D558,products!$A$1:$A$49,0),MATCH(orders!K$1,products!$A$1:$G$1,0))</f>
        <v>0.2</v>
      </c>
      <c r="L558">
        <f>INDEX(products!$A$1:$G$49,MATCH(orders!$D558,products!$A$1:$A$49,0),MATCH(orders!L$1,products!$A$1:$G$1,0))</f>
        <v>4.3650000000000002</v>
      </c>
      <c r="M558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_xlfn.XLOOKUP(C558,customers!$A$2:$A$1001,customers!$I$2:$I$1001,,0)</f>
        <v>Yes</v>
      </c>
    </row>
    <row r="559" spans="1:16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_xlfn.XLOOKUP(C559,customers!$A$1:$A$1001,customers!$C$1:$C$1001,,0)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>
        <f>INDEX(products!$A$1:$G$49,MATCH(orders!$D559,products!$A$1:$A$49,0),MATCH(orders!K$1,products!$A$1:$G$1,0))</f>
        <v>1</v>
      </c>
      <c r="L559">
        <f>INDEX(products!$A$1:$G$49,MATCH(orders!$D559,products!$A$1:$A$49,0),MATCH(orders!L$1,products!$A$1:$G$1,0))</f>
        <v>14.85</v>
      </c>
      <c r="M559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_xlfn.XLOOKUP(C559,customers!$A$2:$A$1001,customers!$I$2:$I$1001,,0)</f>
        <v>Yes</v>
      </c>
    </row>
    <row r="560" spans="1:16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>
        <f>_xlfn.XLOOKUP(C560,customers!$A$1:$A$1001,customers!$C$1:$C$1001,,0)</f>
        <v>0</v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>
        <f>INDEX(products!$A$1:$G$49,MATCH(orders!$D560,products!$A$1:$A$49,0),MATCH(orders!K$1,products!$A$1:$G$1,0))</f>
        <v>0.2</v>
      </c>
      <c r="L560">
        <f>INDEX(products!$A$1:$G$49,MATCH(orders!$D560,products!$A$1:$A$49,0),MATCH(orders!L$1,products!$A$1:$G$1,0))</f>
        <v>3.8849999999999998</v>
      </c>
      <c r="M560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_xlfn.XLOOKUP(C560,customers!$A$2:$A$1001,customers!$I$2:$I$1001,,0)</f>
        <v>Yes</v>
      </c>
    </row>
    <row r="561" spans="1:16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_xlfn.XLOOKUP(C561,customers!$A$1:$A$1001,customers!$C$1:$C$1001,,0)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>
        <f>INDEX(products!$A$1:$G$49,MATCH(orders!$D561,products!$A$1:$A$49,0),MATCH(orders!K$1,products!$A$1:$G$1,0))</f>
        <v>1</v>
      </c>
      <c r="L561">
        <f>INDEX(products!$A$1:$G$49,MATCH(orders!$D561,products!$A$1:$A$49,0),MATCH(orders!L$1,products!$A$1:$G$1,0))</f>
        <v>12.95</v>
      </c>
      <c r="M561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_xlfn.XLOOKUP(C561,customers!$A$2:$A$1001,customers!$I$2:$I$1001,,0)</f>
        <v>Yes</v>
      </c>
    </row>
    <row r="562" spans="1:16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>
        <f>_xlfn.XLOOKUP(C562,customers!$A$1:$A$1001,customers!$C$1:$C$1001,,0)</f>
        <v>0</v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>
        <f>INDEX(products!$A$1:$G$49,MATCH(orders!$D562,products!$A$1:$A$49,0),MATCH(orders!K$1,products!$A$1:$G$1,0))</f>
        <v>2.5</v>
      </c>
      <c r="L562">
        <f>INDEX(products!$A$1:$G$49,MATCH(orders!$D562,products!$A$1:$A$49,0),MATCH(orders!L$1,products!$A$1:$G$1,0))</f>
        <v>31.624999999999996</v>
      </c>
      <c r="M562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_xlfn.XLOOKUP(C562,customers!$A$2:$A$1001,customers!$I$2:$I$1001,,0)</f>
        <v>Yes</v>
      </c>
    </row>
    <row r="563" spans="1:16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>
        <f>_xlfn.XLOOKUP(C563,customers!$A$1:$A$1001,customers!$C$1:$C$1001,,0)</f>
        <v>0</v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>
        <f>INDEX(products!$A$1:$G$49,MATCH(orders!$D563,products!$A$1:$A$49,0),MATCH(orders!K$1,products!$A$1:$G$1,0))</f>
        <v>0.2</v>
      </c>
      <c r="L563">
        <f>INDEX(products!$A$1:$G$49,MATCH(orders!$D563,products!$A$1:$A$49,0),MATCH(orders!L$1,products!$A$1:$G$1,0))</f>
        <v>2.9849999999999999</v>
      </c>
      <c r="M563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_xlfn.XLOOKUP(C563,customers!$A$2:$A$1001,customers!$I$2:$I$1001,,0)</f>
        <v>Yes</v>
      </c>
    </row>
    <row r="564" spans="1:16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_xlfn.XLOOKUP(C564,customers!$A$1:$A$1001,customers!$C$1:$C$1001,,0)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>
        <f>INDEX(products!$A$1:$G$49,MATCH(orders!$D564,products!$A$1:$A$49,0),MATCH(orders!K$1,products!$A$1:$G$1,0))</f>
        <v>0.2</v>
      </c>
      <c r="L564">
        <f>INDEX(products!$A$1:$G$49,MATCH(orders!$D564,products!$A$1:$A$49,0),MATCH(orders!L$1,products!$A$1:$G$1,0))</f>
        <v>4.7549999999999999</v>
      </c>
      <c r="M564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_xlfn.XLOOKUP(C564,customers!$A$2:$A$1001,customers!$I$2:$I$1001,,0)</f>
        <v>No</v>
      </c>
    </row>
    <row r="565" spans="1:16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_xlfn.XLOOKUP(C565,customers!$A$1:$A$1001,customers!$C$1:$C$1001,,0)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>
        <f>INDEX(products!$A$1:$G$49,MATCH(orders!$D565,products!$A$1:$A$49,0),MATCH(orders!K$1,products!$A$1:$G$1,0))</f>
        <v>1</v>
      </c>
      <c r="L565">
        <f>INDEX(products!$A$1:$G$49,MATCH(orders!$D565,products!$A$1:$A$49,0),MATCH(orders!L$1,products!$A$1:$G$1,0))</f>
        <v>13.75</v>
      </c>
      <c r="M56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_xlfn.XLOOKUP(C565,customers!$A$2:$A$1001,customers!$I$2:$I$1001,,0)</f>
        <v>No</v>
      </c>
    </row>
    <row r="566" spans="1:16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_xlfn.XLOOKUP(C566,customers!$A$1:$A$1001,customers!$C$1:$C$1001,,0)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>
        <f>INDEX(products!$A$1:$G$49,MATCH(orders!$D566,products!$A$1:$A$49,0),MATCH(orders!K$1,products!$A$1:$G$1,0))</f>
        <v>0.5</v>
      </c>
      <c r="L566">
        <f>INDEX(products!$A$1:$G$49,MATCH(orders!$D566,products!$A$1:$A$49,0),MATCH(orders!L$1,products!$A$1:$G$1,0))</f>
        <v>7.169999999999999</v>
      </c>
      <c r="M566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_xlfn.XLOOKUP(C566,customers!$A$2:$A$1001,customers!$I$2:$I$1001,,0)</f>
        <v>No</v>
      </c>
    </row>
    <row r="567" spans="1:16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_xlfn.XLOOKUP(C567,customers!$A$1:$A$1001,customers!$C$1:$C$1001,,0)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>
        <f>INDEX(products!$A$1:$G$49,MATCH(orders!$D567,products!$A$1:$A$49,0),MATCH(orders!K$1,products!$A$1:$G$1,0))</f>
        <v>2.5</v>
      </c>
      <c r="L567">
        <f>INDEX(products!$A$1:$G$49,MATCH(orders!$D567,products!$A$1:$A$49,0),MATCH(orders!L$1,products!$A$1:$G$1,0))</f>
        <v>20.584999999999997</v>
      </c>
      <c r="M567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_xlfn.XLOOKUP(C567,customers!$A$2:$A$1001,customers!$I$2:$I$1001,,0)</f>
        <v>No</v>
      </c>
    </row>
    <row r="568" spans="1:16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_xlfn.XLOOKUP(C568,customers!$A$1:$A$1001,customers!$C$1:$C$1001,,0)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>
        <f>INDEX(products!$A$1:$G$49,MATCH(orders!$D568,products!$A$1:$A$49,0),MATCH(orders!K$1,products!$A$1:$G$1,0))</f>
        <v>0.2</v>
      </c>
      <c r="L568">
        <f>INDEX(products!$A$1:$G$49,MATCH(orders!$D568,products!$A$1:$A$49,0),MATCH(orders!L$1,products!$A$1:$G$1,0))</f>
        <v>3.375</v>
      </c>
      <c r="M568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_xlfn.XLOOKUP(C568,customers!$A$2:$A$1001,customers!$I$2:$I$1001,,0)</f>
        <v>Yes</v>
      </c>
    </row>
    <row r="569" spans="1:16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>
        <f>_xlfn.XLOOKUP(C569,customers!$A$1:$A$1001,customers!$C$1:$C$1001,,0)</f>
        <v>0</v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>
        <f>INDEX(products!$A$1:$G$49,MATCH(orders!$D569,products!$A$1:$A$49,0),MATCH(orders!K$1,products!$A$1:$G$1,0))</f>
        <v>2.5</v>
      </c>
      <c r="L569">
        <f>INDEX(products!$A$1:$G$49,MATCH(orders!$D569,products!$A$1:$A$49,0),MATCH(orders!L$1,products!$A$1:$G$1,0))</f>
        <v>27.484999999999996</v>
      </c>
      <c r="M569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_xlfn.XLOOKUP(C569,customers!$A$2:$A$1001,customers!$I$2:$I$1001,,0)</f>
        <v>No</v>
      </c>
    </row>
    <row r="570" spans="1:16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_xlfn.XLOOKUP(C570,customers!$A$1:$A$1001,customers!$C$1:$C$1001,,0)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>
        <f>INDEX(products!$A$1:$G$49,MATCH(orders!$D570,products!$A$1:$A$49,0),MATCH(orders!K$1,products!$A$1:$G$1,0))</f>
        <v>0.2</v>
      </c>
      <c r="L570">
        <f>INDEX(products!$A$1:$G$49,MATCH(orders!$D570,products!$A$1:$A$49,0),MATCH(orders!L$1,products!$A$1:$G$1,0))</f>
        <v>4.7549999999999999</v>
      </c>
      <c r="M570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_xlfn.XLOOKUP(C570,customers!$A$2:$A$1001,customers!$I$2:$I$1001,,0)</f>
        <v>Yes</v>
      </c>
    </row>
    <row r="571" spans="1:16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_xlfn.XLOOKUP(C571,customers!$A$1:$A$1001,customers!$C$1:$C$1001,,0)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>
        <f>INDEX(products!$A$1:$G$49,MATCH(orders!$D571,products!$A$1:$A$49,0),MATCH(orders!K$1,products!$A$1:$G$1,0))</f>
        <v>2.5</v>
      </c>
      <c r="L571">
        <f>INDEX(products!$A$1:$G$49,MATCH(orders!$D571,products!$A$1:$A$49,0),MATCH(orders!L$1,products!$A$1:$G$1,0))</f>
        <v>22.884999999999998</v>
      </c>
      <c r="M571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_xlfn.XLOOKUP(C571,customers!$A$2:$A$1001,customers!$I$2:$I$1001,,0)</f>
        <v>No</v>
      </c>
    </row>
    <row r="572" spans="1:16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_xlfn.XLOOKUP(C572,customers!$A$1:$A$1001,customers!$C$1:$C$1001,,0)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>
        <f>INDEX(products!$A$1:$G$49,MATCH(orders!$D572,products!$A$1:$A$49,0),MATCH(orders!K$1,products!$A$1:$G$1,0))</f>
        <v>0.5</v>
      </c>
      <c r="L572">
        <f>INDEX(products!$A$1:$G$49,MATCH(orders!$D572,products!$A$1:$A$49,0),MATCH(orders!L$1,products!$A$1:$G$1,0))</f>
        <v>6.75</v>
      </c>
      <c r="M572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_xlfn.XLOOKUP(C572,customers!$A$2:$A$1001,customers!$I$2:$I$1001,,0)</f>
        <v>No</v>
      </c>
    </row>
    <row r="573" spans="1:16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_xlfn.XLOOKUP(C573,customers!$A$1:$A$1001,customers!$C$1:$C$1001,,0)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>
        <f>INDEX(products!$A$1:$G$49,MATCH(orders!$D573,products!$A$1:$A$49,0),MATCH(orders!K$1,products!$A$1:$G$1,0))</f>
        <v>0.5</v>
      </c>
      <c r="L573">
        <f>INDEX(products!$A$1:$G$49,MATCH(orders!$D573,products!$A$1:$A$49,0),MATCH(orders!L$1,products!$A$1:$G$1,0))</f>
        <v>8.91</v>
      </c>
      <c r="M573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_xlfn.XLOOKUP(C573,customers!$A$2:$A$1001,customers!$I$2:$I$1001,,0)</f>
        <v>No</v>
      </c>
    </row>
    <row r="574" spans="1:16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>
        <f>_xlfn.XLOOKUP(C574,customers!$A$1:$A$1001,customers!$C$1:$C$1001,,0)</f>
        <v>0</v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>
        <f>INDEX(products!$A$1:$G$49,MATCH(orders!$D574,products!$A$1:$A$49,0),MATCH(orders!K$1,products!$A$1:$G$1,0))</f>
        <v>0.2</v>
      </c>
      <c r="L574">
        <f>INDEX(products!$A$1:$G$49,MATCH(orders!$D574,products!$A$1:$A$49,0),MATCH(orders!L$1,products!$A$1:$G$1,0))</f>
        <v>2.9849999999999999</v>
      </c>
      <c r="M574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_xlfn.XLOOKUP(C574,customers!$A$2:$A$1001,customers!$I$2:$I$1001,,0)</f>
        <v>Yes</v>
      </c>
    </row>
    <row r="575" spans="1:16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_xlfn.XLOOKUP(C575,customers!$A$1:$A$1001,customers!$C$1:$C$1001,,0)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>
        <f>INDEX(products!$A$1:$G$49,MATCH(orders!$D575,products!$A$1:$A$49,0),MATCH(orders!K$1,products!$A$1:$G$1,0))</f>
        <v>1</v>
      </c>
      <c r="L575">
        <f>INDEX(products!$A$1:$G$49,MATCH(orders!$D575,products!$A$1:$A$49,0),MATCH(orders!L$1,products!$A$1:$G$1,0))</f>
        <v>11.25</v>
      </c>
      <c r="M57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_xlfn.XLOOKUP(C575,customers!$A$2:$A$1001,customers!$I$2:$I$1001,,0)</f>
        <v>No</v>
      </c>
    </row>
    <row r="576" spans="1:16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_xlfn.XLOOKUP(C576,customers!$A$1:$A$1001,customers!$C$1:$C$1001,,0)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>
        <f>INDEX(products!$A$1:$G$49,MATCH(orders!$D576,products!$A$1:$A$49,0),MATCH(orders!K$1,products!$A$1:$G$1,0))</f>
        <v>0.2</v>
      </c>
      <c r="L576">
        <f>INDEX(products!$A$1:$G$49,MATCH(orders!$D576,products!$A$1:$A$49,0),MATCH(orders!L$1,products!$A$1:$G$1,0))</f>
        <v>3.5849999999999995</v>
      </c>
      <c r="M576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_xlfn.XLOOKUP(C576,customers!$A$2:$A$1001,customers!$I$2:$I$1001,,0)</f>
        <v>Yes</v>
      </c>
    </row>
    <row r="577" spans="1:16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_xlfn.XLOOKUP(C577,customers!$A$1:$A$1001,customers!$C$1:$C$1001,,0)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>
        <f>INDEX(products!$A$1:$G$49,MATCH(orders!$D577,products!$A$1:$A$49,0),MATCH(orders!K$1,products!$A$1:$G$1,0))</f>
        <v>2.5</v>
      </c>
      <c r="L577">
        <f>INDEX(products!$A$1:$G$49,MATCH(orders!$D577,products!$A$1:$A$49,0),MATCH(orders!L$1,products!$A$1:$G$1,0))</f>
        <v>33.464999999999996</v>
      </c>
      <c r="M577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_xlfn.XLOOKUP(C577,customers!$A$2:$A$1001,customers!$I$2:$I$1001,,0)</f>
        <v>No</v>
      </c>
    </row>
    <row r="578" spans="1:16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_xlfn.XLOOKUP(C578,customers!$A$1:$A$1001,customers!$C$1:$C$1001,,0)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>
        <f>INDEX(products!$A$1:$G$49,MATCH(orders!$D578,products!$A$1:$A$49,0),MATCH(orders!K$1,products!$A$1:$G$1,0))</f>
        <v>0.2</v>
      </c>
      <c r="L578">
        <f>INDEX(products!$A$1:$G$49,MATCH(orders!$D578,products!$A$1:$A$49,0),MATCH(orders!L$1,products!$A$1:$G$1,0))</f>
        <v>2.9849999999999999</v>
      </c>
      <c r="M578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_xlfn.XLOOKUP(C578,customers!$A$2:$A$1001,customers!$I$2:$I$1001,,0)</f>
        <v>No</v>
      </c>
    </row>
    <row r="579" spans="1:16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_xlfn.XLOOKUP(C579,customers!$A$1:$A$1001,customers!$C$1:$C$1001,,0)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>
        <f>INDEX(products!$A$1:$G$49,MATCH(orders!$D579,products!$A$1:$A$49,0),MATCH(orders!K$1,products!$A$1:$G$1,0))</f>
        <v>1</v>
      </c>
      <c r="L579">
        <f>INDEX(products!$A$1:$G$49,MATCH(orders!$D579,products!$A$1:$A$49,0),MATCH(orders!L$1,products!$A$1:$G$1,0))</f>
        <v>14.55</v>
      </c>
      <c r="M579">
        <f t="shared" ref="M579:M642" si="27">L579*E579</f>
        <v>58.2</v>
      </c>
      <c r="N579" t="str">
        <f t="shared" ref="N579:N642" si="28">IF(I579="Rob","Robusta",IF(I579="Exc","Excelsa",IF(I579="Lib","Liberica",IF(I579="Ara","Arabica"))))</f>
        <v>Liberica</v>
      </c>
      <c r="O579" t="str">
        <f t="shared" si="26"/>
        <v>Medium</v>
      </c>
      <c r="P579" t="str">
        <f>_xlfn.XLOOKUP(C579,customers!$A$2:$A$1001,customers!$I$2:$I$1001,,0)</f>
        <v>No</v>
      </c>
    </row>
    <row r="580" spans="1:16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_xlfn.XLOOKUP(C580,customers!$A$1:$A$1001,customers!$C$1:$C$1001,,0)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>
        <f>INDEX(products!$A$1:$G$49,MATCH(orders!$D580,products!$A$1:$A$49,0),MATCH(orders!K$1,products!$A$1:$G$1,0))</f>
        <v>0.2</v>
      </c>
      <c r="L580">
        <f>INDEX(products!$A$1:$G$49,MATCH(orders!$D580,products!$A$1:$A$49,0),MATCH(orders!L$1,products!$A$1:$G$1,0))</f>
        <v>4.4550000000000001</v>
      </c>
      <c r="M580">
        <f t="shared" si="27"/>
        <v>13.365</v>
      </c>
      <c r="N580" t="str">
        <f t="shared" si="28"/>
        <v>Excelsa</v>
      </c>
      <c r="O580" t="str">
        <f t="shared" si="26"/>
        <v>Light</v>
      </c>
      <c r="P580" t="str">
        <f>_xlfn.XLOOKUP(C580,customers!$A$2:$A$1001,customers!$I$2:$I$1001,,0)</f>
        <v>No</v>
      </c>
    </row>
    <row r="581" spans="1:16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_xlfn.XLOOKUP(C581,customers!$A$1:$A$1001,customers!$C$1:$C$1001,,0)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>
        <f>INDEX(products!$A$1:$G$49,MATCH(orders!$D581,products!$A$1:$A$49,0),MATCH(orders!K$1,products!$A$1:$G$1,0))</f>
        <v>0.5</v>
      </c>
      <c r="L581">
        <f>INDEX(products!$A$1:$G$49,MATCH(orders!$D581,products!$A$1:$A$49,0),MATCH(orders!L$1,products!$A$1:$G$1,0))</f>
        <v>6.75</v>
      </c>
      <c r="M581">
        <f t="shared" si="27"/>
        <v>33.75</v>
      </c>
      <c r="N581" t="str">
        <f t="shared" si="28"/>
        <v>Arabica</v>
      </c>
      <c r="O581" t="str">
        <f t="shared" ref="O581:O644" si="29">IF(J581="L","Light",IF(J581="M","Medium",IF(J581="D","Dark")))</f>
        <v>Medium</v>
      </c>
      <c r="P581" t="str">
        <f>_xlfn.XLOOKUP(C581,customers!$A$2:$A$1001,customers!$I$2:$I$1001,,0)</f>
        <v>No</v>
      </c>
    </row>
    <row r="582" spans="1:16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_xlfn.XLOOKUP(C582,customers!$A$1:$A$1001,customers!$C$1:$C$1001,,0)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>
        <f>INDEX(products!$A$1:$G$49,MATCH(orders!$D582,products!$A$1:$A$49,0),MATCH(orders!K$1,products!$A$1:$G$1,0))</f>
        <v>1</v>
      </c>
      <c r="L582">
        <f>INDEX(products!$A$1:$G$49,MATCH(orders!$D582,products!$A$1:$A$49,0),MATCH(orders!L$1,products!$A$1:$G$1,0))</f>
        <v>14.85</v>
      </c>
      <c r="M582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_xlfn.XLOOKUP(C582,customers!$A$2:$A$1001,customers!$I$2:$I$1001,,0)</f>
        <v>Yes</v>
      </c>
    </row>
    <row r="583" spans="1:16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_xlfn.XLOOKUP(C583,customers!$A$1:$A$1001,customers!$C$1:$C$1001,,0)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>
        <f>INDEX(products!$A$1:$G$49,MATCH(orders!$D583,products!$A$1:$A$49,0),MATCH(orders!K$1,products!$A$1:$G$1,0))</f>
        <v>0.5</v>
      </c>
      <c r="L583">
        <f>INDEX(products!$A$1:$G$49,MATCH(orders!$D583,products!$A$1:$A$49,0),MATCH(orders!L$1,products!$A$1:$G$1,0))</f>
        <v>8.91</v>
      </c>
      <c r="M583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_xlfn.XLOOKUP(C583,customers!$A$2:$A$1001,customers!$I$2:$I$1001,,0)</f>
        <v>Yes</v>
      </c>
    </row>
    <row r="584" spans="1:16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_xlfn.XLOOKUP(C584,customers!$A$1:$A$1001,customers!$C$1:$C$1001,,0)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>
        <f>INDEX(products!$A$1:$G$49,MATCH(orders!$D584,products!$A$1:$A$49,0),MATCH(orders!K$1,products!$A$1:$G$1,0))</f>
        <v>1</v>
      </c>
      <c r="L584">
        <f>INDEX(products!$A$1:$G$49,MATCH(orders!$D584,products!$A$1:$A$49,0),MATCH(orders!L$1,products!$A$1:$G$1,0))</f>
        <v>12.15</v>
      </c>
      <c r="M584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_xlfn.XLOOKUP(C584,customers!$A$2:$A$1001,customers!$I$2:$I$1001,,0)</f>
        <v>No</v>
      </c>
    </row>
    <row r="585" spans="1:16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_xlfn.XLOOKUP(C585,customers!$A$1:$A$1001,customers!$C$1:$C$1001,,0)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>
        <f>INDEX(products!$A$1:$G$49,MATCH(orders!$D585,products!$A$1:$A$49,0),MATCH(orders!K$1,products!$A$1:$G$1,0))</f>
        <v>0.2</v>
      </c>
      <c r="L585">
        <f>INDEX(products!$A$1:$G$49,MATCH(orders!$D585,products!$A$1:$A$49,0),MATCH(orders!L$1,products!$A$1:$G$1,0))</f>
        <v>3.5849999999999995</v>
      </c>
      <c r="M58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_xlfn.XLOOKUP(C585,customers!$A$2:$A$1001,customers!$I$2:$I$1001,,0)</f>
        <v>Yes</v>
      </c>
    </row>
    <row r="586" spans="1:16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_xlfn.XLOOKUP(C586,customers!$A$1:$A$1001,customers!$C$1:$C$1001,,0)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>
        <f>INDEX(products!$A$1:$G$49,MATCH(orders!$D586,products!$A$1:$A$49,0),MATCH(orders!K$1,products!$A$1:$G$1,0))</f>
        <v>0.2</v>
      </c>
      <c r="L586">
        <f>INDEX(products!$A$1:$G$49,MATCH(orders!$D586,products!$A$1:$A$49,0),MATCH(orders!L$1,products!$A$1:$G$1,0))</f>
        <v>3.5849999999999995</v>
      </c>
      <c r="M586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_xlfn.XLOOKUP(C586,customers!$A$2:$A$1001,customers!$I$2:$I$1001,,0)</f>
        <v>No</v>
      </c>
    </row>
    <row r="587" spans="1:16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_xlfn.XLOOKUP(C587,customers!$A$1:$A$1001,customers!$C$1:$C$1001,,0)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>
        <f>INDEX(products!$A$1:$G$49,MATCH(orders!$D587,products!$A$1:$A$49,0),MATCH(orders!K$1,products!$A$1:$G$1,0))</f>
        <v>0.5</v>
      </c>
      <c r="L587">
        <f>INDEX(products!$A$1:$G$49,MATCH(orders!$D587,products!$A$1:$A$49,0),MATCH(orders!L$1,products!$A$1:$G$1,0))</f>
        <v>8.25</v>
      </c>
      <c r="M587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_xlfn.XLOOKUP(C587,customers!$A$2:$A$1001,customers!$I$2:$I$1001,,0)</f>
        <v>Yes</v>
      </c>
    </row>
    <row r="588" spans="1:16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>
        <f>_xlfn.XLOOKUP(C588,customers!$A$1:$A$1001,customers!$C$1:$C$1001,,0)</f>
        <v>0</v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>
        <f>INDEX(products!$A$1:$G$49,MATCH(orders!$D588,products!$A$1:$A$49,0),MATCH(orders!K$1,products!$A$1:$G$1,0))</f>
        <v>2.5</v>
      </c>
      <c r="L588">
        <f>INDEX(products!$A$1:$G$49,MATCH(orders!$D588,products!$A$1:$A$49,0),MATCH(orders!L$1,products!$A$1:$G$1,0))</f>
        <v>27.484999999999996</v>
      </c>
      <c r="M588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_xlfn.XLOOKUP(C588,customers!$A$2:$A$1001,customers!$I$2:$I$1001,,0)</f>
        <v>No</v>
      </c>
    </row>
    <row r="589" spans="1:16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_xlfn.XLOOKUP(C589,customers!$A$1:$A$1001,customers!$C$1:$C$1001,,0)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>
        <f>INDEX(products!$A$1:$G$49,MATCH(orders!$D589,products!$A$1:$A$49,0),MATCH(orders!K$1,products!$A$1:$G$1,0))</f>
        <v>0.5</v>
      </c>
      <c r="L589">
        <f>INDEX(products!$A$1:$G$49,MATCH(orders!$D589,products!$A$1:$A$49,0),MATCH(orders!L$1,products!$A$1:$G$1,0))</f>
        <v>7.77</v>
      </c>
      <c r="M589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_xlfn.XLOOKUP(C589,customers!$A$2:$A$1001,customers!$I$2:$I$1001,,0)</f>
        <v>Yes</v>
      </c>
    </row>
    <row r="590" spans="1:16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_xlfn.XLOOKUP(C590,customers!$A$1:$A$1001,customers!$C$1:$C$1001,,0)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>
        <f>INDEX(products!$A$1:$G$49,MATCH(orders!$D590,products!$A$1:$A$49,0),MATCH(orders!K$1,products!$A$1:$G$1,0))</f>
        <v>0.5</v>
      </c>
      <c r="L590">
        <f>INDEX(products!$A$1:$G$49,MATCH(orders!$D590,products!$A$1:$A$49,0),MATCH(orders!L$1,products!$A$1:$G$1,0))</f>
        <v>5.97</v>
      </c>
      <c r="M590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_xlfn.XLOOKUP(C590,customers!$A$2:$A$1001,customers!$I$2:$I$1001,,0)</f>
        <v>Yes</v>
      </c>
    </row>
    <row r="591" spans="1:16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_xlfn.XLOOKUP(C591,customers!$A$1:$A$1001,customers!$C$1:$C$1001,,0)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>
        <f>INDEX(products!$A$1:$G$49,MATCH(orders!$D591,products!$A$1:$A$49,0),MATCH(orders!K$1,products!$A$1:$G$1,0))</f>
        <v>2.5</v>
      </c>
      <c r="L591">
        <f>INDEX(products!$A$1:$G$49,MATCH(orders!$D591,products!$A$1:$A$49,0),MATCH(orders!L$1,products!$A$1:$G$1,0))</f>
        <v>34.154999999999994</v>
      </c>
      <c r="M591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_xlfn.XLOOKUP(C591,customers!$A$2:$A$1001,customers!$I$2:$I$1001,,0)</f>
        <v>No</v>
      </c>
    </row>
    <row r="592" spans="1:16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_xlfn.XLOOKUP(C592,customers!$A$1:$A$1001,customers!$C$1:$C$1001,,0)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>
        <f>INDEX(products!$A$1:$G$49,MATCH(orders!$D592,products!$A$1:$A$49,0),MATCH(orders!K$1,products!$A$1:$G$1,0))</f>
        <v>2.5</v>
      </c>
      <c r="L592">
        <f>INDEX(products!$A$1:$G$49,MATCH(orders!$D592,products!$A$1:$A$49,0),MATCH(orders!L$1,products!$A$1:$G$1,0))</f>
        <v>31.624999999999996</v>
      </c>
      <c r="M592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_xlfn.XLOOKUP(C592,customers!$A$2:$A$1001,customers!$I$2:$I$1001,,0)</f>
        <v>Yes</v>
      </c>
    </row>
    <row r="593" spans="1:16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_xlfn.XLOOKUP(C593,customers!$A$1:$A$1001,customers!$C$1:$C$1001,,0)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>
        <f>INDEX(products!$A$1:$G$49,MATCH(orders!$D593,products!$A$1:$A$49,0),MATCH(orders!K$1,products!$A$1:$G$1,0))</f>
        <v>0.2</v>
      </c>
      <c r="L593">
        <f>INDEX(products!$A$1:$G$49,MATCH(orders!$D593,products!$A$1:$A$49,0),MATCH(orders!L$1,products!$A$1:$G$1,0))</f>
        <v>2.6849999999999996</v>
      </c>
      <c r="M593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_xlfn.XLOOKUP(C593,customers!$A$2:$A$1001,customers!$I$2:$I$1001,,0)</f>
        <v>Yes</v>
      </c>
    </row>
    <row r="594" spans="1:16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>
        <f>_xlfn.XLOOKUP(C594,customers!$A$1:$A$1001,customers!$C$1:$C$1001,,0)</f>
        <v>0</v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>
        <f>INDEX(products!$A$1:$G$49,MATCH(orders!$D594,products!$A$1:$A$49,0),MATCH(orders!K$1,products!$A$1:$G$1,0))</f>
        <v>2.5</v>
      </c>
      <c r="L594">
        <f>INDEX(products!$A$1:$G$49,MATCH(orders!$D594,products!$A$1:$A$49,0),MATCH(orders!L$1,products!$A$1:$G$1,0))</f>
        <v>25.874999999999996</v>
      </c>
      <c r="M594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_xlfn.XLOOKUP(C594,customers!$A$2:$A$1001,customers!$I$2:$I$1001,,0)</f>
        <v>No</v>
      </c>
    </row>
    <row r="595" spans="1:16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_xlfn.XLOOKUP(C595,customers!$A$1:$A$1001,customers!$C$1:$C$1001,,0)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>
        <f>INDEX(products!$A$1:$G$49,MATCH(orders!$D595,products!$A$1:$A$49,0),MATCH(orders!K$1,products!$A$1:$G$1,0))</f>
        <v>2.5</v>
      </c>
      <c r="L595">
        <f>INDEX(products!$A$1:$G$49,MATCH(orders!$D595,products!$A$1:$A$49,0),MATCH(orders!L$1,products!$A$1:$G$1,0))</f>
        <v>27.945</v>
      </c>
      <c r="M59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_xlfn.XLOOKUP(C595,customers!$A$2:$A$1001,customers!$I$2:$I$1001,,0)</f>
        <v>Yes</v>
      </c>
    </row>
    <row r="596" spans="1:16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_xlfn.XLOOKUP(C596,customers!$A$1:$A$1001,customers!$C$1:$C$1001,,0)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>
        <f>INDEX(products!$A$1:$G$49,MATCH(orders!$D596,products!$A$1:$A$49,0),MATCH(orders!K$1,products!$A$1:$G$1,0))</f>
        <v>2.5</v>
      </c>
      <c r="L596">
        <f>INDEX(products!$A$1:$G$49,MATCH(orders!$D596,products!$A$1:$A$49,0),MATCH(orders!L$1,products!$A$1:$G$1,0))</f>
        <v>29.784999999999997</v>
      </c>
      <c r="M596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_xlfn.XLOOKUP(C596,customers!$A$2:$A$1001,customers!$I$2:$I$1001,,0)</f>
        <v>No</v>
      </c>
    </row>
    <row r="597" spans="1:16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>
        <f>_xlfn.XLOOKUP(C597,customers!$A$1:$A$1001,customers!$C$1:$C$1001,,0)</f>
        <v>0</v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>
        <f>INDEX(products!$A$1:$G$49,MATCH(orders!$D597,products!$A$1:$A$49,0),MATCH(orders!K$1,products!$A$1:$G$1,0))</f>
        <v>1</v>
      </c>
      <c r="L597">
        <f>INDEX(products!$A$1:$G$49,MATCH(orders!$D597,products!$A$1:$A$49,0),MATCH(orders!L$1,products!$A$1:$G$1,0))</f>
        <v>14.85</v>
      </c>
      <c r="M597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_xlfn.XLOOKUP(C597,customers!$A$2:$A$1001,customers!$I$2:$I$1001,,0)</f>
        <v>No</v>
      </c>
    </row>
    <row r="598" spans="1:16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_xlfn.XLOOKUP(C598,customers!$A$1:$A$1001,customers!$C$1:$C$1001,,0)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>
        <f>INDEX(products!$A$1:$G$49,MATCH(orders!$D598,products!$A$1:$A$49,0),MATCH(orders!K$1,products!$A$1:$G$1,0))</f>
        <v>0.5</v>
      </c>
      <c r="L598">
        <f>INDEX(products!$A$1:$G$49,MATCH(orders!$D598,products!$A$1:$A$49,0),MATCH(orders!L$1,products!$A$1:$G$1,0))</f>
        <v>6.75</v>
      </c>
      <c r="M598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_xlfn.XLOOKUP(C598,customers!$A$2:$A$1001,customers!$I$2:$I$1001,,0)</f>
        <v>No</v>
      </c>
    </row>
    <row r="599" spans="1:16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_xlfn.XLOOKUP(C599,customers!$A$1:$A$1001,customers!$C$1:$C$1001,,0)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>
        <f>INDEX(products!$A$1:$G$49,MATCH(orders!$D599,products!$A$1:$A$49,0),MATCH(orders!K$1,products!$A$1:$G$1,0))</f>
        <v>2.5</v>
      </c>
      <c r="L599">
        <f>INDEX(products!$A$1:$G$49,MATCH(orders!$D599,products!$A$1:$A$49,0),MATCH(orders!L$1,products!$A$1:$G$1,0))</f>
        <v>36.454999999999998</v>
      </c>
      <c r="M599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_xlfn.XLOOKUP(C599,customers!$A$2:$A$1001,customers!$I$2:$I$1001,,0)</f>
        <v>Yes</v>
      </c>
    </row>
    <row r="600" spans="1:16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_xlfn.XLOOKUP(C600,customers!$A$1:$A$1001,customers!$C$1:$C$1001,,0)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>
        <f>INDEX(products!$A$1:$G$49,MATCH(orders!$D600,products!$A$1:$A$49,0),MATCH(orders!K$1,products!$A$1:$G$1,0))</f>
        <v>0.2</v>
      </c>
      <c r="L600">
        <f>INDEX(products!$A$1:$G$49,MATCH(orders!$D600,products!$A$1:$A$49,0),MATCH(orders!L$1,products!$A$1:$G$1,0))</f>
        <v>2.9849999999999999</v>
      </c>
      <c r="M600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_xlfn.XLOOKUP(C600,customers!$A$2:$A$1001,customers!$I$2:$I$1001,,0)</f>
        <v>Yes</v>
      </c>
    </row>
    <row r="601" spans="1:16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_xlfn.XLOOKUP(C601,customers!$A$1:$A$1001,customers!$C$1:$C$1001,,0)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>
        <f>INDEX(products!$A$1:$G$49,MATCH(orders!$D601,products!$A$1:$A$49,0),MATCH(orders!K$1,products!$A$1:$G$1,0))</f>
        <v>0.2</v>
      </c>
      <c r="L601">
        <f>INDEX(products!$A$1:$G$49,MATCH(orders!$D601,products!$A$1:$A$49,0),MATCH(orders!L$1,products!$A$1:$G$1,0))</f>
        <v>2.9849999999999999</v>
      </c>
      <c r="M601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_xlfn.XLOOKUP(C601,customers!$A$2:$A$1001,customers!$I$2:$I$1001,,0)</f>
        <v>Yes</v>
      </c>
    </row>
    <row r="602" spans="1:16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_xlfn.XLOOKUP(C602,customers!$A$1:$A$1001,customers!$C$1:$C$1001,,0)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>
        <f>INDEX(products!$A$1:$G$49,MATCH(orders!$D602,products!$A$1:$A$49,0),MATCH(orders!K$1,products!$A$1:$G$1,0))</f>
        <v>0.5</v>
      </c>
      <c r="L602">
        <f>INDEX(products!$A$1:$G$49,MATCH(orders!$D602,products!$A$1:$A$49,0),MATCH(orders!L$1,products!$A$1:$G$1,0))</f>
        <v>7.77</v>
      </c>
      <c r="M602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_xlfn.XLOOKUP(C602,customers!$A$2:$A$1001,customers!$I$2:$I$1001,,0)</f>
        <v>No</v>
      </c>
    </row>
    <row r="603" spans="1:16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_xlfn.XLOOKUP(C603,customers!$A$1:$A$1001,customers!$C$1:$C$1001,,0)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>
        <f>INDEX(products!$A$1:$G$49,MATCH(orders!$D603,products!$A$1:$A$49,0),MATCH(orders!K$1,products!$A$1:$G$1,0))</f>
        <v>2.5</v>
      </c>
      <c r="L603">
        <f>INDEX(products!$A$1:$G$49,MATCH(orders!$D603,products!$A$1:$A$49,0),MATCH(orders!L$1,products!$A$1:$G$1,0))</f>
        <v>27.484999999999996</v>
      </c>
      <c r="M603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_xlfn.XLOOKUP(C603,customers!$A$2:$A$1001,customers!$I$2:$I$1001,,0)</f>
        <v>Yes</v>
      </c>
    </row>
    <row r="604" spans="1:16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_xlfn.XLOOKUP(C604,customers!$A$1:$A$1001,customers!$C$1:$C$1001,,0)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>
        <f>INDEX(products!$A$1:$G$49,MATCH(orders!$D604,products!$A$1:$A$49,0),MATCH(orders!K$1,products!$A$1:$G$1,0))</f>
        <v>0.2</v>
      </c>
      <c r="L604">
        <f>INDEX(products!$A$1:$G$49,MATCH(orders!$D604,products!$A$1:$A$49,0),MATCH(orders!L$1,products!$A$1:$G$1,0))</f>
        <v>4.4550000000000001</v>
      </c>
      <c r="M604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_xlfn.XLOOKUP(C604,customers!$A$2:$A$1001,customers!$I$2:$I$1001,,0)</f>
        <v>Yes</v>
      </c>
    </row>
    <row r="605" spans="1:16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_xlfn.XLOOKUP(C605,customers!$A$1:$A$1001,customers!$C$1:$C$1001,,0)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>
        <f>INDEX(products!$A$1:$G$49,MATCH(orders!$D605,products!$A$1:$A$49,0),MATCH(orders!K$1,products!$A$1:$G$1,0))</f>
        <v>0.2</v>
      </c>
      <c r="L605">
        <f>INDEX(products!$A$1:$G$49,MATCH(orders!$D605,products!$A$1:$A$49,0),MATCH(orders!L$1,products!$A$1:$G$1,0))</f>
        <v>2.9849999999999999</v>
      </c>
      <c r="M60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_xlfn.XLOOKUP(C605,customers!$A$2:$A$1001,customers!$I$2:$I$1001,,0)</f>
        <v>No</v>
      </c>
    </row>
    <row r="606" spans="1:16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>
        <f>_xlfn.XLOOKUP(C606,customers!$A$1:$A$1001,customers!$C$1:$C$1001,,0)</f>
        <v>0</v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>
        <f>INDEX(products!$A$1:$G$49,MATCH(orders!$D606,products!$A$1:$A$49,0),MATCH(orders!K$1,products!$A$1:$G$1,0))</f>
        <v>2.5</v>
      </c>
      <c r="L606">
        <f>INDEX(products!$A$1:$G$49,MATCH(orders!$D606,products!$A$1:$A$49,0),MATCH(orders!L$1,products!$A$1:$G$1,0))</f>
        <v>29.784999999999997</v>
      </c>
      <c r="M606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_xlfn.XLOOKUP(C606,customers!$A$2:$A$1001,customers!$I$2:$I$1001,,0)</f>
        <v>No</v>
      </c>
    </row>
    <row r="607" spans="1:16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_xlfn.XLOOKUP(C607,customers!$A$1:$A$1001,customers!$C$1:$C$1001,,0)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>
        <f>INDEX(products!$A$1:$G$49,MATCH(orders!$D607,products!$A$1:$A$49,0),MATCH(orders!K$1,products!$A$1:$G$1,0))</f>
        <v>2.5</v>
      </c>
      <c r="L607">
        <f>INDEX(products!$A$1:$G$49,MATCH(orders!$D607,products!$A$1:$A$49,0),MATCH(orders!L$1,products!$A$1:$G$1,0))</f>
        <v>29.784999999999997</v>
      </c>
      <c r="M607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_xlfn.XLOOKUP(C607,customers!$A$2:$A$1001,customers!$I$2:$I$1001,,0)</f>
        <v>Yes</v>
      </c>
    </row>
    <row r="608" spans="1:16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_xlfn.XLOOKUP(C608,customers!$A$1:$A$1001,customers!$C$1:$C$1001,,0)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>
        <f>INDEX(products!$A$1:$G$49,MATCH(orders!$D608,products!$A$1:$A$49,0),MATCH(orders!K$1,products!$A$1:$G$1,0))</f>
        <v>2.5</v>
      </c>
      <c r="L608">
        <f>INDEX(products!$A$1:$G$49,MATCH(orders!$D608,products!$A$1:$A$49,0),MATCH(orders!L$1,products!$A$1:$G$1,0))</f>
        <v>36.454999999999998</v>
      </c>
      <c r="M608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_xlfn.XLOOKUP(C608,customers!$A$2:$A$1001,customers!$I$2:$I$1001,,0)</f>
        <v>Yes</v>
      </c>
    </row>
    <row r="609" spans="1:16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_xlfn.XLOOKUP(C609,customers!$A$1:$A$1001,customers!$C$1:$C$1001,,0)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>
        <f>INDEX(products!$A$1:$G$49,MATCH(orders!$D609,products!$A$1:$A$49,0),MATCH(orders!K$1,products!$A$1:$G$1,0))</f>
        <v>0.2</v>
      </c>
      <c r="L609">
        <f>INDEX(products!$A$1:$G$49,MATCH(orders!$D609,products!$A$1:$A$49,0),MATCH(orders!L$1,products!$A$1:$G$1,0))</f>
        <v>3.645</v>
      </c>
      <c r="M609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_xlfn.XLOOKUP(C609,customers!$A$2:$A$1001,customers!$I$2:$I$1001,,0)</f>
        <v>Yes</v>
      </c>
    </row>
    <row r="610" spans="1:16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>
        <f>_xlfn.XLOOKUP(C610,customers!$A$1:$A$1001,customers!$C$1:$C$1001,,0)</f>
        <v>0</v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>
        <f>INDEX(products!$A$1:$G$49,MATCH(orders!$D610,products!$A$1:$A$49,0),MATCH(orders!K$1,products!$A$1:$G$1,0))</f>
        <v>2.5</v>
      </c>
      <c r="L610">
        <f>INDEX(products!$A$1:$G$49,MATCH(orders!$D610,products!$A$1:$A$49,0),MATCH(orders!L$1,products!$A$1:$G$1,0))</f>
        <v>27.945</v>
      </c>
      <c r="M610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_xlfn.XLOOKUP(C610,customers!$A$2:$A$1001,customers!$I$2:$I$1001,,0)</f>
        <v>No</v>
      </c>
    </row>
    <row r="611" spans="1:16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_xlfn.XLOOKUP(C611,customers!$A$1:$A$1001,customers!$C$1:$C$1001,,0)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>
        <f>INDEX(products!$A$1:$G$49,MATCH(orders!$D611,products!$A$1:$A$49,0),MATCH(orders!K$1,products!$A$1:$G$1,0))</f>
        <v>0.2</v>
      </c>
      <c r="L611">
        <f>INDEX(products!$A$1:$G$49,MATCH(orders!$D611,products!$A$1:$A$49,0),MATCH(orders!L$1,products!$A$1:$G$1,0))</f>
        <v>4.3650000000000002</v>
      </c>
      <c r="M611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_xlfn.XLOOKUP(C611,customers!$A$2:$A$1001,customers!$I$2:$I$1001,,0)</f>
        <v>Yes</v>
      </c>
    </row>
    <row r="612" spans="1:16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_xlfn.XLOOKUP(C612,customers!$A$1:$A$1001,customers!$C$1:$C$1001,,0)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>
        <f>INDEX(products!$A$1:$G$49,MATCH(orders!$D612,products!$A$1:$A$49,0),MATCH(orders!K$1,products!$A$1:$G$1,0))</f>
        <v>1</v>
      </c>
      <c r="L612">
        <f>INDEX(products!$A$1:$G$49,MATCH(orders!$D612,products!$A$1:$A$49,0),MATCH(orders!L$1,products!$A$1:$G$1,0))</f>
        <v>9.9499999999999993</v>
      </c>
      <c r="M612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_xlfn.XLOOKUP(C612,customers!$A$2:$A$1001,customers!$I$2:$I$1001,,0)</f>
        <v>No</v>
      </c>
    </row>
    <row r="613" spans="1:16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_xlfn.XLOOKUP(C613,customers!$A$1:$A$1001,customers!$C$1:$C$1001,,0)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>
        <f>INDEX(products!$A$1:$G$49,MATCH(orders!$D613,products!$A$1:$A$49,0),MATCH(orders!K$1,products!$A$1:$G$1,0))</f>
        <v>2.5</v>
      </c>
      <c r="L613">
        <f>INDEX(products!$A$1:$G$49,MATCH(orders!$D613,products!$A$1:$A$49,0),MATCH(orders!L$1,products!$A$1:$G$1,0))</f>
        <v>34.154999999999994</v>
      </c>
      <c r="M613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_xlfn.XLOOKUP(C613,customers!$A$2:$A$1001,customers!$I$2:$I$1001,,0)</f>
        <v>No</v>
      </c>
    </row>
    <row r="614" spans="1:16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>
        <f>_xlfn.XLOOKUP(C614,customers!$A$1:$A$1001,customers!$C$1:$C$1001,,0)</f>
        <v>0</v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>
        <f>INDEX(products!$A$1:$G$49,MATCH(orders!$D614,products!$A$1:$A$49,0),MATCH(orders!K$1,products!$A$1:$G$1,0))</f>
        <v>0.2</v>
      </c>
      <c r="L614">
        <f>INDEX(products!$A$1:$G$49,MATCH(orders!$D614,products!$A$1:$A$49,0),MATCH(orders!L$1,products!$A$1:$G$1,0))</f>
        <v>3.375</v>
      </c>
      <c r="M614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_xlfn.XLOOKUP(C614,customers!$A$2:$A$1001,customers!$I$2:$I$1001,,0)</f>
        <v>No</v>
      </c>
    </row>
    <row r="615" spans="1:16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>
        <f>_xlfn.XLOOKUP(C615,customers!$A$1:$A$1001,customers!$C$1:$C$1001,,0)</f>
        <v>0</v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>
        <f>INDEX(products!$A$1:$G$49,MATCH(orders!$D615,products!$A$1:$A$49,0),MATCH(orders!K$1,products!$A$1:$G$1,0))</f>
        <v>0.5</v>
      </c>
      <c r="L615">
        <f>INDEX(products!$A$1:$G$49,MATCH(orders!$D615,products!$A$1:$A$49,0),MATCH(orders!L$1,products!$A$1:$G$1,0))</f>
        <v>5.97</v>
      </c>
      <c r="M61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_xlfn.XLOOKUP(C615,customers!$A$2:$A$1001,customers!$I$2:$I$1001,,0)</f>
        <v>No</v>
      </c>
    </row>
    <row r="616" spans="1:16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_xlfn.XLOOKUP(C616,customers!$A$1:$A$1001,customers!$C$1:$C$1001,,0)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>
        <f>INDEX(products!$A$1:$G$49,MATCH(orders!$D616,products!$A$1:$A$49,0),MATCH(orders!K$1,products!$A$1:$G$1,0))</f>
        <v>0.5</v>
      </c>
      <c r="L616">
        <f>INDEX(products!$A$1:$G$49,MATCH(orders!$D616,products!$A$1:$A$49,0),MATCH(orders!L$1,products!$A$1:$G$1,0))</f>
        <v>5.97</v>
      </c>
      <c r="M616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_xlfn.XLOOKUP(C616,customers!$A$2:$A$1001,customers!$I$2:$I$1001,,0)</f>
        <v>Yes</v>
      </c>
    </row>
    <row r="617" spans="1:16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_xlfn.XLOOKUP(C617,customers!$A$1:$A$1001,customers!$C$1:$C$1001,,0)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>
        <f>INDEX(products!$A$1:$G$49,MATCH(orders!$D617,products!$A$1:$A$49,0),MATCH(orders!K$1,products!$A$1:$G$1,0))</f>
        <v>2.5</v>
      </c>
      <c r="L617">
        <f>INDEX(products!$A$1:$G$49,MATCH(orders!$D617,products!$A$1:$A$49,0),MATCH(orders!L$1,products!$A$1:$G$1,0))</f>
        <v>36.454999999999998</v>
      </c>
      <c r="M617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_xlfn.XLOOKUP(C617,customers!$A$2:$A$1001,customers!$I$2:$I$1001,,0)</f>
        <v>Yes</v>
      </c>
    </row>
    <row r="618" spans="1:16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_xlfn.XLOOKUP(C618,customers!$A$1:$A$1001,customers!$C$1:$C$1001,,0)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>
        <f>INDEX(products!$A$1:$G$49,MATCH(orders!$D618,products!$A$1:$A$49,0),MATCH(orders!K$1,products!$A$1:$G$1,0))</f>
        <v>2.5</v>
      </c>
      <c r="L618">
        <f>INDEX(products!$A$1:$G$49,MATCH(orders!$D618,products!$A$1:$A$49,0),MATCH(orders!L$1,products!$A$1:$G$1,0))</f>
        <v>31.624999999999996</v>
      </c>
      <c r="M618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_xlfn.XLOOKUP(C618,customers!$A$2:$A$1001,customers!$I$2:$I$1001,,0)</f>
        <v>No</v>
      </c>
    </row>
    <row r="619" spans="1:16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_xlfn.XLOOKUP(C619,customers!$A$1:$A$1001,customers!$C$1:$C$1001,,0)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>
        <f>INDEX(products!$A$1:$G$49,MATCH(orders!$D619,products!$A$1:$A$49,0),MATCH(orders!K$1,products!$A$1:$G$1,0))</f>
        <v>2.5</v>
      </c>
      <c r="L619">
        <f>INDEX(products!$A$1:$G$49,MATCH(orders!$D619,products!$A$1:$A$49,0),MATCH(orders!L$1,products!$A$1:$G$1,0))</f>
        <v>33.464999999999996</v>
      </c>
      <c r="M619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_xlfn.XLOOKUP(C619,customers!$A$2:$A$1001,customers!$I$2:$I$1001,,0)</f>
        <v>No</v>
      </c>
    </row>
    <row r="620" spans="1:16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_xlfn.XLOOKUP(C620,customers!$A$1:$A$1001,customers!$C$1:$C$1001,,0)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>
        <f>INDEX(products!$A$1:$G$49,MATCH(orders!$D620,products!$A$1:$A$49,0),MATCH(orders!K$1,products!$A$1:$G$1,0))</f>
        <v>1</v>
      </c>
      <c r="L620">
        <f>INDEX(products!$A$1:$G$49,MATCH(orders!$D620,products!$A$1:$A$49,0),MATCH(orders!L$1,products!$A$1:$G$1,0))</f>
        <v>12.15</v>
      </c>
      <c r="M620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_xlfn.XLOOKUP(C620,customers!$A$2:$A$1001,customers!$I$2:$I$1001,,0)</f>
        <v>Yes</v>
      </c>
    </row>
    <row r="621" spans="1:16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_xlfn.XLOOKUP(C621,customers!$A$1:$A$1001,customers!$C$1:$C$1001,,0)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>
        <f>INDEX(products!$A$1:$G$49,MATCH(orders!$D621,products!$A$1:$A$49,0),MATCH(orders!K$1,products!$A$1:$G$1,0))</f>
        <v>0.5</v>
      </c>
      <c r="L621">
        <f>INDEX(products!$A$1:$G$49,MATCH(orders!$D621,products!$A$1:$A$49,0),MATCH(orders!L$1,products!$A$1:$G$1,0))</f>
        <v>7.77</v>
      </c>
      <c r="M621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_xlfn.XLOOKUP(C621,customers!$A$2:$A$1001,customers!$I$2:$I$1001,,0)</f>
        <v>Yes</v>
      </c>
    </row>
    <row r="622" spans="1:16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_xlfn.XLOOKUP(C622,customers!$A$1:$A$1001,customers!$C$1:$C$1001,,0)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>
        <f>INDEX(products!$A$1:$G$49,MATCH(orders!$D622,products!$A$1:$A$49,0),MATCH(orders!K$1,products!$A$1:$G$1,0))</f>
        <v>0.2</v>
      </c>
      <c r="L622">
        <f>INDEX(products!$A$1:$G$49,MATCH(orders!$D622,products!$A$1:$A$49,0),MATCH(orders!L$1,products!$A$1:$G$1,0))</f>
        <v>3.375</v>
      </c>
      <c r="M622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_xlfn.XLOOKUP(C622,customers!$A$2:$A$1001,customers!$I$2:$I$1001,,0)</f>
        <v>No</v>
      </c>
    </row>
    <row r="623" spans="1:16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_xlfn.XLOOKUP(C623,customers!$A$1:$A$1001,customers!$C$1:$C$1001,,0)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>
        <f>INDEX(products!$A$1:$G$49,MATCH(orders!$D623,products!$A$1:$A$49,0),MATCH(orders!K$1,products!$A$1:$G$1,0))</f>
        <v>1</v>
      </c>
      <c r="L623">
        <f>INDEX(products!$A$1:$G$49,MATCH(orders!$D623,products!$A$1:$A$49,0),MATCH(orders!L$1,products!$A$1:$G$1,0))</f>
        <v>12.95</v>
      </c>
      <c r="M623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_xlfn.XLOOKUP(C623,customers!$A$2:$A$1001,customers!$I$2:$I$1001,,0)</f>
        <v>No</v>
      </c>
    </row>
    <row r="624" spans="1:16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_xlfn.XLOOKUP(C624,customers!$A$1:$A$1001,customers!$C$1:$C$1001,,0)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>
        <f>INDEX(products!$A$1:$G$49,MATCH(orders!$D624,products!$A$1:$A$49,0),MATCH(orders!K$1,products!$A$1:$G$1,0))</f>
        <v>2.5</v>
      </c>
      <c r="L624">
        <f>INDEX(products!$A$1:$G$49,MATCH(orders!$D624,products!$A$1:$A$49,0),MATCH(orders!L$1,products!$A$1:$G$1,0))</f>
        <v>33.464999999999996</v>
      </c>
      <c r="M624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_xlfn.XLOOKUP(C624,customers!$A$2:$A$1001,customers!$I$2:$I$1001,,0)</f>
        <v>No</v>
      </c>
    </row>
    <row r="625" spans="1:16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>
        <f>_xlfn.XLOOKUP(C625,customers!$A$1:$A$1001,customers!$C$1:$C$1001,,0)</f>
        <v>0</v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>
        <f>INDEX(products!$A$1:$G$49,MATCH(orders!$D625,products!$A$1:$A$49,0),MATCH(orders!K$1,products!$A$1:$G$1,0))</f>
        <v>1</v>
      </c>
      <c r="L625">
        <f>INDEX(products!$A$1:$G$49,MATCH(orders!$D625,products!$A$1:$A$49,0),MATCH(orders!L$1,products!$A$1:$G$1,0))</f>
        <v>12.15</v>
      </c>
      <c r="M62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_xlfn.XLOOKUP(C625,customers!$A$2:$A$1001,customers!$I$2:$I$1001,,0)</f>
        <v>No</v>
      </c>
    </row>
    <row r="626" spans="1:16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_xlfn.XLOOKUP(C626,customers!$A$1:$A$1001,customers!$C$1:$C$1001,,0)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>
        <f>INDEX(products!$A$1:$G$49,MATCH(orders!$D626,products!$A$1:$A$49,0),MATCH(orders!K$1,products!$A$1:$G$1,0))</f>
        <v>2.5</v>
      </c>
      <c r="L626">
        <f>INDEX(products!$A$1:$G$49,MATCH(orders!$D626,products!$A$1:$A$49,0),MATCH(orders!L$1,products!$A$1:$G$1,0))</f>
        <v>31.624999999999996</v>
      </c>
      <c r="M626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_xlfn.XLOOKUP(C626,customers!$A$2:$A$1001,customers!$I$2:$I$1001,,0)</f>
        <v>Yes</v>
      </c>
    </row>
    <row r="627" spans="1:16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_xlfn.XLOOKUP(C627,customers!$A$1:$A$1001,customers!$C$1:$C$1001,,0)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>
        <f>INDEX(products!$A$1:$G$49,MATCH(orders!$D627,products!$A$1:$A$49,0),MATCH(orders!K$1,products!$A$1:$G$1,0))</f>
        <v>0.5</v>
      </c>
      <c r="L627">
        <f>INDEX(products!$A$1:$G$49,MATCH(orders!$D627,products!$A$1:$A$49,0),MATCH(orders!L$1,products!$A$1:$G$1,0))</f>
        <v>7.169999999999999</v>
      </c>
      <c r="M627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_xlfn.XLOOKUP(C627,customers!$A$2:$A$1001,customers!$I$2:$I$1001,,0)</f>
        <v>No</v>
      </c>
    </row>
    <row r="628" spans="1:16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_xlfn.XLOOKUP(C628,customers!$A$1:$A$1001,customers!$C$1:$C$1001,,0)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>
        <f>INDEX(products!$A$1:$G$49,MATCH(orders!$D628,products!$A$1:$A$49,0),MATCH(orders!K$1,products!$A$1:$G$1,0))</f>
        <v>2.5</v>
      </c>
      <c r="L628">
        <f>INDEX(products!$A$1:$G$49,MATCH(orders!$D628,products!$A$1:$A$49,0),MATCH(orders!L$1,products!$A$1:$G$1,0))</f>
        <v>25.874999999999996</v>
      </c>
      <c r="M628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_xlfn.XLOOKUP(C628,customers!$A$2:$A$1001,customers!$I$2:$I$1001,,0)</f>
        <v>No</v>
      </c>
    </row>
    <row r="629" spans="1:16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_xlfn.XLOOKUP(C629,customers!$A$1:$A$1001,customers!$C$1:$C$1001,,0)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>
        <f>INDEX(products!$A$1:$G$49,MATCH(orders!$D629,products!$A$1:$A$49,0),MATCH(orders!K$1,products!$A$1:$G$1,0))</f>
        <v>2.5</v>
      </c>
      <c r="L629">
        <f>INDEX(products!$A$1:$G$49,MATCH(orders!$D629,products!$A$1:$A$49,0),MATCH(orders!L$1,products!$A$1:$G$1,0))</f>
        <v>31.624999999999996</v>
      </c>
      <c r="M629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_xlfn.XLOOKUP(C629,customers!$A$2:$A$1001,customers!$I$2:$I$1001,,0)</f>
        <v>Yes</v>
      </c>
    </row>
    <row r="630" spans="1:16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_xlfn.XLOOKUP(C630,customers!$A$1:$A$1001,customers!$C$1:$C$1001,,0)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>
        <f>INDEX(products!$A$1:$G$49,MATCH(orders!$D630,products!$A$1:$A$49,0),MATCH(orders!K$1,products!$A$1:$G$1,0))</f>
        <v>0.2</v>
      </c>
      <c r="L630">
        <f>INDEX(products!$A$1:$G$49,MATCH(orders!$D630,products!$A$1:$A$49,0),MATCH(orders!L$1,products!$A$1:$G$1,0))</f>
        <v>4.4550000000000001</v>
      </c>
      <c r="M630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_xlfn.XLOOKUP(C630,customers!$A$2:$A$1001,customers!$I$2:$I$1001,,0)</f>
        <v>Yes</v>
      </c>
    </row>
    <row r="631" spans="1:16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_xlfn.XLOOKUP(C631,customers!$A$1:$A$1001,customers!$C$1:$C$1001,,0)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>
        <f>INDEX(products!$A$1:$G$49,MATCH(orders!$D631,products!$A$1:$A$49,0),MATCH(orders!K$1,products!$A$1:$G$1,0))</f>
        <v>0.5</v>
      </c>
      <c r="L631">
        <f>INDEX(products!$A$1:$G$49,MATCH(orders!$D631,products!$A$1:$A$49,0),MATCH(orders!L$1,products!$A$1:$G$1,0))</f>
        <v>7.77</v>
      </c>
      <c r="M631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_xlfn.XLOOKUP(C631,customers!$A$2:$A$1001,customers!$I$2:$I$1001,,0)</f>
        <v>Yes</v>
      </c>
    </row>
    <row r="632" spans="1:16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_xlfn.XLOOKUP(C632,customers!$A$1:$A$1001,customers!$C$1:$C$1001,,0)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>
        <f>INDEX(products!$A$1:$G$49,MATCH(orders!$D632,products!$A$1:$A$49,0),MATCH(orders!K$1,products!$A$1:$G$1,0))</f>
        <v>0.2</v>
      </c>
      <c r="L632">
        <f>INDEX(products!$A$1:$G$49,MATCH(orders!$D632,products!$A$1:$A$49,0),MATCH(orders!L$1,products!$A$1:$G$1,0))</f>
        <v>2.9849999999999999</v>
      </c>
      <c r="M632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_xlfn.XLOOKUP(C632,customers!$A$2:$A$1001,customers!$I$2:$I$1001,,0)</f>
        <v>Yes</v>
      </c>
    </row>
    <row r="633" spans="1:16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_xlfn.XLOOKUP(C633,customers!$A$1:$A$1001,customers!$C$1:$C$1001,,0)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>
        <f>INDEX(products!$A$1:$G$49,MATCH(orders!$D633,products!$A$1:$A$49,0),MATCH(orders!K$1,products!$A$1:$G$1,0))</f>
        <v>2.5</v>
      </c>
      <c r="L633">
        <f>INDEX(products!$A$1:$G$49,MATCH(orders!$D633,products!$A$1:$A$49,0),MATCH(orders!L$1,products!$A$1:$G$1,0))</f>
        <v>20.584999999999997</v>
      </c>
      <c r="M633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_xlfn.XLOOKUP(C633,customers!$A$2:$A$1001,customers!$I$2:$I$1001,,0)</f>
        <v>Yes</v>
      </c>
    </row>
    <row r="634" spans="1:16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_xlfn.XLOOKUP(C634,customers!$A$1:$A$1001,customers!$C$1:$C$1001,,0)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>
        <f>INDEX(products!$A$1:$G$49,MATCH(orders!$D634,products!$A$1:$A$49,0),MATCH(orders!K$1,products!$A$1:$G$1,0))</f>
        <v>0.5</v>
      </c>
      <c r="L634">
        <f>INDEX(products!$A$1:$G$49,MATCH(orders!$D634,products!$A$1:$A$49,0),MATCH(orders!L$1,products!$A$1:$G$1,0))</f>
        <v>8.91</v>
      </c>
      <c r="M634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_xlfn.XLOOKUP(C634,customers!$A$2:$A$1001,customers!$I$2:$I$1001,,0)</f>
        <v>No</v>
      </c>
    </row>
    <row r="635" spans="1:16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_xlfn.XLOOKUP(C635,customers!$A$1:$A$1001,customers!$C$1:$C$1001,,0)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>
        <f>INDEX(products!$A$1:$G$49,MATCH(orders!$D635,products!$A$1:$A$49,0),MATCH(orders!K$1,products!$A$1:$G$1,0))</f>
        <v>1</v>
      </c>
      <c r="L635">
        <f>INDEX(products!$A$1:$G$49,MATCH(orders!$D635,products!$A$1:$A$49,0),MATCH(orders!L$1,products!$A$1:$G$1,0))</f>
        <v>11.95</v>
      </c>
      <c r="M63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_xlfn.XLOOKUP(C635,customers!$A$2:$A$1001,customers!$I$2:$I$1001,,0)</f>
        <v>No</v>
      </c>
    </row>
    <row r="636" spans="1:16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_xlfn.XLOOKUP(C636,customers!$A$1:$A$1001,customers!$C$1:$C$1001,,0)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>
        <f>INDEX(products!$A$1:$G$49,MATCH(orders!$D636,products!$A$1:$A$49,0),MATCH(orders!K$1,products!$A$1:$G$1,0))</f>
        <v>1</v>
      </c>
      <c r="L636">
        <f>INDEX(products!$A$1:$G$49,MATCH(orders!$D636,products!$A$1:$A$49,0),MATCH(orders!L$1,products!$A$1:$G$1,0))</f>
        <v>14.55</v>
      </c>
      <c r="M636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_xlfn.XLOOKUP(C636,customers!$A$2:$A$1001,customers!$I$2:$I$1001,,0)</f>
        <v>No</v>
      </c>
    </row>
    <row r="637" spans="1:16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_xlfn.XLOOKUP(C637,customers!$A$1:$A$1001,customers!$C$1:$C$1001,,0)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>
        <f>INDEX(products!$A$1:$G$49,MATCH(orders!$D637,products!$A$1:$A$49,0),MATCH(orders!K$1,products!$A$1:$G$1,0))</f>
        <v>0.5</v>
      </c>
      <c r="L637">
        <f>INDEX(products!$A$1:$G$49,MATCH(orders!$D637,products!$A$1:$A$49,0),MATCH(orders!L$1,products!$A$1:$G$1,0))</f>
        <v>8.91</v>
      </c>
      <c r="M637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_xlfn.XLOOKUP(C637,customers!$A$2:$A$1001,customers!$I$2:$I$1001,,0)</f>
        <v>Yes</v>
      </c>
    </row>
    <row r="638" spans="1:16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_xlfn.XLOOKUP(C638,customers!$A$1:$A$1001,customers!$C$1:$C$1001,,0)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>
        <f>INDEX(products!$A$1:$G$49,MATCH(orders!$D638,products!$A$1:$A$49,0),MATCH(orders!K$1,products!$A$1:$G$1,0))</f>
        <v>1</v>
      </c>
      <c r="L638">
        <f>INDEX(products!$A$1:$G$49,MATCH(orders!$D638,products!$A$1:$A$49,0),MATCH(orders!L$1,products!$A$1:$G$1,0))</f>
        <v>15.85</v>
      </c>
      <c r="M638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_xlfn.XLOOKUP(C638,customers!$A$2:$A$1001,customers!$I$2:$I$1001,,0)</f>
        <v>Yes</v>
      </c>
    </row>
    <row r="639" spans="1:16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_xlfn.XLOOKUP(C639,customers!$A$1:$A$1001,customers!$C$1:$C$1001,,0)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>
        <f>INDEX(products!$A$1:$G$49,MATCH(orders!$D639,products!$A$1:$A$49,0),MATCH(orders!K$1,products!$A$1:$G$1,0))</f>
        <v>2.5</v>
      </c>
      <c r="L639">
        <f>INDEX(products!$A$1:$G$49,MATCH(orders!$D639,products!$A$1:$A$49,0),MATCH(orders!L$1,products!$A$1:$G$1,0))</f>
        <v>31.624999999999996</v>
      </c>
      <c r="M639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_xlfn.XLOOKUP(C639,customers!$A$2:$A$1001,customers!$I$2:$I$1001,,0)</f>
        <v>Yes</v>
      </c>
    </row>
    <row r="640" spans="1:16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>
        <f>_xlfn.XLOOKUP(C640,customers!$A$1:$A$1001,customers!$C$1:$C$1001,,0)</f>
        <v>0</v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>
        <f>INDEX(products!$A$1:$G$49,MATCH(orders!$D640,products!$A$1:$A$49,0),MATCH(orders!K$1,products!$A$1:$G$1,0))</f>
        <v>2.5</v>
      </c>
      <c r="L640">
        <f>INDEX(products!$A$1:$G$49,MATCH(orders!$D640,products!$A$1:$A$49,0),MATCH(orders!L$1,products!$A$1:$G$1,0))</f>
        <v>25.874999999999996</v>
      </c>
      <c r="M640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_xlfn.XLOOKUP(C640,customers!$A$2:$A$1001,customers!$I$2:$I$1001,,0)</f>
        <v>Yes</v>
      </c>
    </row>
    <row r="641" spans="1:16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_xlfn.XLOOKUP(C641,customers!$A$1:$A$1001,customers!$C$1:$C$1001,,0)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>
        <f>INDEX(products!$A$1:$G$49,MATCH(orders!$D641,products!$A$1:$A$49,0),MATCH(orders!K$1,products!$A$1:$G$1,0))</f>
        <v>0.2</v>
      </c>
      <c r="L641">
        <f>INDEX(products!$A$1:$G$49,MATCH(orders!$D641,products!$A$1:$A$49,0),MATCH(orders!L$1,products!$A$1:$G$1,0))</f>
        <v>3.8849999999999998</v>
      </c>
      <c r="M641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_xlfn.XLOOKUP(C641,customers!$A$2:$A$1001,customers!$I$2:$I$1001,,0)</f>
        <v>Yes</v>
      </c>
    </row>
    <row r="642" spans="1:16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_xlfn.XLOOKUP(C642,customers!$A$1:$A$1001,customers!$C$1:$C$1001,,0)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>
        <f>INDEX(products!$A$1:$G$49,MATCH(orders!$D642,products!$A$1:$A$49,0),MATCH(orders!K$1,products!$A$1:$G$1,0))</f>
        <v>2.5</v>
      </c>
      <c r="L642">
        <f>INDEX(products!$A$1:$G$49,MATCH(orders!$D642,products!$A$1:$A$49,0),MATCH(orders!L$1,products!$A$1:$G$1,0))</f>
        <v>27.484999999999996</v>
      </c>
      <c r="M642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_xlfn.XLOOKUP(C642,customers!$A$2:$A$1001,customers!$I$2:$I$1001,,0)</f>
        <v>No</v>
      </c>
    </row>
    <row r="643" spans="1:16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_xlfn.XLOOKUP(C643,customers!$A$1:$A$1001,customers!$C$1:$C$1001,,0)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>
        <f>INDEX(products!$A$1:$G$49,MATCH(orders!$D643,products!$A$1:$A$49,0),MATCH(orders!K$1,products!$A$1:$G$1,0))</f>
        <v>1</v>
      </c>
      <c r="L643">
        <f>INDEX(products!$A$1:$G$49,MATCH(orders!$D643,products!$A$1:$A$49,0),MATCH(orders!L$1,products!$A$1:$G$1,0))</f>
        <v>11.95</v>
      </c>
      <c r="M643">
        <f t="shared" ref="M643:M706" si="30">L643*E643</f>
        <v>35.849999999999994</v>
      </c>
      <c r="N643" t="str">
        <f t="shared" ref="N643:N706" si="31">IF(I643="Rob","Robusta",IF(I643="Exc","Excelsa",IF(I643="Lib","Liberica",IF(I643="Ara","Arabica"))))</f>
        <v>Robusta</v>
      </c>
      <c r="O643" t="str">
        <f t="shared" si="29"/>
        <v>Light</v>
      </c>
      <c r="P643" t="str">
        <f>_xlfn.XLOOKUP(C643,customers!$A$2:$A$1001,customers!$I$2:$I$1001,,0)</f>
        <v>Yes</v>
      </c>
    </row>
    <row r="644" spans="1:16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_xlfn.XLOOKUP(C644,customers!$A$1:$A$1001,customers!$C$1:$C$1001,,0)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>
        <f>INDEX(products!$A$1:$G$49,MATCH(orders!$D644,products!$A$1:$A$49,0),MATCH(orders!K$1,products!$A$1:$G$1,0))</f>
        <v>0.2</v>
      </c>
      <c r="L644">
        <f>INDEX(products!$A$1:$G$49,MATCH(orders!$D644,products!$A$1:$A$49,0),MATCH(orders!L$1,products!$A$1:$G$1,0))</f>
        <v>4.125</v>
      </c>
      <c r="M644">
        <f t="shared" si="30"/>
        <v>8.25</v>
      </c>
      <c r="N644" t="str">
        <f t="shared" si="31"/>
        <v>Excelsa</v>
      </c>
      <c r="O644" t="str">
        <f t="shared" si="29"/>
        <v>Medium</v>
      </c>
      <c r="P644" t="str">
        <f>_xlfn.XLOOKUP(C644,customers!$A$2:$A$1001,customers!$I$2:$I$1001,,0)</f>
        <v>Yes</v>
      </c>
    </row>
    <row r="645" spans="1:16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_xlfn.XLOOKUP(C645,customers!$A$1:$A$1001,customers!$C$1:$C$1001,,0)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>
        <f>INDEX(products!$A$1:$G$49,MATCH(orders!$D645,products!$A$1:$A$49,0),MATCH(orders!K$1,products!$A$1:$G$1,0))</f>
        <v>2.5</v>
      </c>
      <c r="L645">
        <f>INDEX(products!$A$1:$G$49,MATCH(orders!$D645,products!$A$1:$A$49,0),MATCH(orders!L$1,products!$A$1:$G$1,0))</f>
        <v>34.154999999999994</v>
      </c>
      <c r="M645">
        <f t="shared" si="30"/>
        <v>102.46499999999997</v>
      </c>
      <c r="N645" t="str">
        <f t="shared" si="31"/>
        <v>Excelsa</v>
      </c>
      <c r="O645" t="str">
        <f t="shared" ref="O645:O708" si="32">IF(J645="L","Light",IF(J645="M","Medium",IF(J645="D","Dark")))</f>
        <v>Light</v>
      </c>
      <c r="P645" t="str">
        <f>_xlfn.XLOOKUP(C645,customers!$A$2:$A$1001,customers!$I$2:$I$1001,,0)</f>
        <v>Yes</v>
      </c>
    </row>
    <row r="646" spans="1:16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>
        <f>_xlfn.XLOOKUP(C646,customers!$A$1:$A$1001,customers!$C$1:$C$1001,,0)</f>
        <v>0</v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>
        <f>INDEX(products!$A$1:$G$49,MATCH(orders!$D646,products!$A$1:$A$49,0),MATCH(orders!K$1,products!$A$1:$G$1,0))</f>
        <v>2.5</v>
      </c>
      <c r="L646">
        <f>INDEX(products!$A$1:$G$49,MATCH(orders!$D646,products!$A$1:$A$49,0),MATCH(orders!L$1,products!$A$1:$G$1,0))</f>
        <v>20.584999999999997</v>
      </c>
      <c r="M646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_xlfn.XLOOKUP(C646,customers!$A$2:$A$1001,customers!$I$2:$I$1001,,0)</f>
        <v>No</v>
      </c>
    </row>
    <row r="647" spans="1:16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_xlfn.XLOOKUP(C647,customers!$A$1:$A$1001,customers!$C$1:$C$1001,,0)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>
        <f>INDEX(products!$A$1:$G$49,MATCH(orders!$D647,products!$A$1:$A$49,0),MATCH(orders!K$1,products!$A$1:$G$1,0))</f>
        <v>2.5</v>
      </c>
      <c r="L647">
        <f>INDEX(products!$A$1:$G$49,MATCH(orders!$D647,products!$A$1:$A$49,0),MATCH(orders!L$1,products!$A$1:$G$1,0))</f>
        <v>22.884999999999998</v>
      </c>
      <c r="M647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_xlfn.XLOOKUP(C647,customers!$A$2:$A$1001,customers!$I$2:$I$1001,,0)</f>
        <v>Yes</v>
      </c>
    </row>
    <row r="648" spans="1:16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_xlfn.XLOOKUP(C648,customers!$A$1:$A$1001,customers!$C$1:$C$1001,,0)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>
        <f>INDEX(products!$A$1:$G$49,MATCH(orders!$D648,products!$A$1:$A$49,0),MATCH(orders!K$1,products!$A$1:$G$1,0))</f>
        <v>1</v>
      </c>
      <c r="L648">
        <f>INDEX(products!$A$1:$G$49,MATCH(orders!$D648,products!$A$1:$A$49,0),MATCH(orders!L$1,products!$A$1:$G$1,0))</f>
        <v>9.9499999999999993</v>
      </c>
      <c r="M648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_xlfn.XLOOKUP(C648,customers!$A$2:$A$1001,customers!$I$2:$I$1001,,0)</f>
        <v>Yes</v>
      </c>
    </row>
    <row r="649" spans="1:16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_xlfn.XLOOKUP(C649,customers!$A$1:$A$1001,customers!$C$1:$C$1001,,0)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>
        <f>INDEX(products!$A$1:$G$49,MATCH(orders!$D649,products!$A$1:$A$49,0),MATCH(orders!K$1,products!$A$1:$G$1,0))</f>
        <v>0.5</v>
      </c>
      <c r="L649">
        <f>INDEX(products!$A$1:$G$49,MATCH(orders!$D649,products!$A$1:$A$49,0),MATCH(orders!L$1,products!$A$1:$G$1,0))</f>
        <v>9.51</v>
      </c>
      <c r="M649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_xlfn.XLOOKUP(C649,customers!$A$2:$A$1001,customers!$I$2:$I$1001,,0)</f>
        <v>Yes</v>
      </c>
    </row>
    <row r="650" spans="1:16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_xlfn.XLOOKUP(C650,customers!$A$1:$A$1001,customers!$C$1:$C$1001,,0)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>
        <f>INDEX(products!$A$1:$G$49,MATCH(orders!$D650,products!$A$1:$A$49,0),MATCH(orders!K$1,products!$A$1:$G$1,0))</f>
        <v>0.2</v>
      </c>
      <c r="L650">
        <f>INDEX(products!$A$1:$G$49,MATCH(orders!$D650,products!$A$1:$A$49,0),MATCH(orders!L$1,products!$A$1:$G$1,0))</f>
        <v>2.6849999999999996</v>
      </c>
      <c r="M650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_xlfn.XLOOKUP(C650,customers!$A$2:$A$1001,customers!$I$2:$I$1001,,0)</f>
        <v>No</v>
      </c>
    </row>
    <row r="651" spans="1:16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_xlfn.XLOOKUP(C651,customers!$A$1:$A$1001,customers!$C$1:$C$1001,,0)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>
        <f>INDEX(products!$A$1:$G$49,MATCH(orders!$D651,products!$A$1:$A$49,0),MATCH(orders!K$1,products!$A$1:$G$1,0))</f>
        <v>1</v>
      </c>
      <c r="L651">
        <f>INDEX(products!$A$1:$G$49,MATCH(orders!$D651,products!$A$1:$A$49,0),MATCH(orders!L$1,products!$A$1:$G$1,0))</f>
        <v>15.85</v>
      </c>
      <c r="M651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_xlfn.XLOOKUP(C651,customers!$A$2:$A$1001,customers!$I$2:$I$1001,,0)</f>
        <v>No</v>
      </c>
    </row>
    <row r="652" spans="1:16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_xlfn.XLOOKUP(C652,customers!$A$1:$A$1001,customers!$C$1:$C$1001,,0)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>
        <f>INDEX(products!$A$1:$G$49,MATCH(orders!$D652,products!$A$1:$A$49,0),MATCH(orders!K$1,products!$A$1:$G$1,0))</f>
        <v>0.5</v>
      </c>
      <c r="L652">
        <f>INDEX(products!$A$1:$G$49,MATCH(orders!$D652,products!$A$1:$A$49,0),MATCH(orders!L$1,products!$A$1:$G$1,0))</f>
        <v>5.3699999999999992</v>
      </c>
      <c r="M652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_xlfn.XLOOKUP(C652,customers!$A$2:$A$1001,customers!$I$2:$I$1001,,0)</f>
        <v>Yes</v>
      </c>
    </row>
    <row r="653" spans="1:16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>
        <f>_xlfn.XLOOKUP(C653,customers!$A$1:$A$1001,customers!$C$1:$C$1001,,0)</f>
        <v>0</v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>
        <f>INDEX(products!$A$1:$G$49,MATCH(orders!$D653,products!$A$1:$A$49,0),MATCH(orders!K$1,products!$A$1:$G$1,0))</f>
        <v>1</v>
      </c>
      <c r="L653">
        <f>INDEX(products!$A$1:$G$49,MATCH(orders!$D653,products!$A$1:$A$49,0),MATCH(orders!L$1,products!$A$1:$G$1,0))</f>
        <v>11.95</v>
      </c>
      <c r="M653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_xlfn.XLOOKUP(C653,customers!$A$2:$A$1001,customers!$I$2:$I$1001,,0)</f>
        <v>No</v>
      </c>
    </row>
    <row r="654" spans="1:16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_xlfn.XLOOKUP(C654,customers!$A$1:$A$1001,customers!$C$1:$C$1001,,0)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>
        <f>INDEX(products!$A$1:$G$49,MATCH(orders!$D654,products!$A$1:$A$49,0),MATCH(orders!K$1,products!$A$1:$G$1,0))</f>
        <v>1</v>
      </c>
      <c r="L654">
        <f>INDEX(products!$A$1:$G$49,MATCH(orders!$D654,products!$A$1:$A$49,0),MATCH(orders!L$1,products!$A$1:$G$1,0))</f>
        <v>15.85</v>
      </c>
      <c r="M654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_xlfn.XLOOKUP(C654,customers!$A$2:$A$1001,customers!$I$2:$I$1001,,0)</f>
        <v>No</v>
      </c>
    </row>
    <row r="655" spans="1:16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_xlfn.XLOOKUP(C655,customers!$A$1:$A$1001,customers!$C$1:$C$1001,,0)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>
        <f>INDEX(products!$A$1:$G$49,MATCH(orders!$D655,products!$A$1:$A$49,0),MATCH(orders!K$1,products!$A$1:$G$1,0))</f>
        <v>2.5</v>
      </c>
      <c r="L655">
        <f>INDEX(products!$A$1:$G$49,MATCH(orders!$D655,products!$A$1:$A$49,0),MATCH(orders!L$1,products!$A$1:$G$1,0))</f>
        <v>25.874999999999996</v>
      </c>
      <c r="M65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_xlfn.XLOOKUP(C655,customers!$A$2:$A$1001,customers!$I$2:$I$1001,,0)</f>
        <v>No</v>
      </c>
    </row>
    <row r="656" spans="1:16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_xlfn.XLOOKUP(C656,customers!$A$1:$A$1001,customers!$C$1:$C$1001,,0)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>
        <f>INDEX(products!$A$1:$G$49,MATCH(orders!$D656,products!$A$1:$A$49,0),MATCH(orders!K$1,products!$A$1:$G$1,0))</f>
        <v>2.5</v>
      </c>
      <c r="L656">
        <f>INDEX(products!$A$1:$G$49,MATCH(orders!$D656,products!$A$1:$A$49,0),MATCH(orders!L$1,products!$A$1:$G$1,0))</f>
        <v>22.884999999999998</v>
      </c>
      <c r="M656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_xlfn.XLOOKUP(C656,customers!$A$2:$A$1001,customers!$I$2:$I$1001,,0)</f>
        <v>No</v>
      </c>
    </row>
    <row r="657" spans="1:16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_xlfn.XLOOKUP(C657,customers!$A$1:$A$1001,customers!$C$1:$C$1001,,0)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>
        <f>INDEX(products!$A$1:$G$49,MATCH(orders!$D657,products!$A$1:$A$49,0),MATCH(orders!K$1,products!$A$1:$G$1,0))</f>
        <v>2.5</v>
      </c>
      <c r="L657">
        <f>INDEX(products!$A$1:$G$49,MATCH(orders!$D657,products!$A$1:$A$49,0),MATCH(orders!L$1,products!$A$1:$G$1,0))</f>
        <v>22.884999999999998</v>
      </c>
      <c r="M657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_xlfn.XLOOKUP(C657,customers!$A$2:$A$1001,customers!$I$2:$I$1001,,0)</f>
        <v>Yes</v>
      </c>
    </row>
    <row r="658" spans="1:16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_xlfn.XLOOKUP(C658,customers!$A$1:$A$1001,customers!$C$1:$C$1001,,0)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>
        <f>INDEX(products!$A$1:$G$49,MATCH(orders!$D658,products!$A$1:$A$49,0),MATCH(orders!K$1,products!$A$1:$G$1,0))</f>
        <v>1</v>
      </c>
      <c r="L658">
        <f>INDEX(products!$A$1:$G$49,MATCH(orders!$D658,products!$A$1:$A$49,0),MATCH(orders!L$1,products!$A$1:$G$1,0))</f>
        <v>12.95</v>
      </c>
      <c r="M658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_xlfn.XLOOKUP(C658,customers!$A$2:$A$1001,customers!$I$2:$I$1001,,0)</f>
        <v>No</v>
      </c>
    </row>
    <row r="659" spans="1:16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_xlfn.XLOOKUP(C659,customers!$A$1:$A$1001,customers!$C$1:$C$1001,,0)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>
        <f>INDEX(products!$A$1:$G$49,MATCH(orders!$D659,products!$A$1:$A$49,0),MATCH(orders!K$1,products!$A$1:$G$1,0))</f>
        <v>0.5</v>
      </c>
      <c r="L659">
        <f>INDEX(products!$A$1:$G$49,MATCH(orders!$D659,products!$A$1:$A$49,0),MATCH(orders!L$1,products!$A$1:$G$1,0))</f>
        <v>6.75</v>
      </c>
      <c r="M659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_xlfn.XLOOKUP(C659,customers!$A$2:$A$1001,customers!$I$2:$I$1001,,0)</f>
        <v>Yes</v>
      </c>
    </row>
    <row r="660" spans="1:16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_xlfn.XLOOKUP(C660,customers!$A$1:$A$1001,customers!$C$1:$C$1001,,0)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>
        <f>INDEX(products!$A$1:$G$49,MATCH(orders!$D660,products!$A$1:$A$49,0),MATCH(orders!K$1,products!$A$1:$G$1,0))</f>
        <v>0.5</v>
      </c>
      <c r="L660">
        <f>INDEX(products!$A$1:$G$49,MATCH(orders!$D660,products!$A$1:$A$49,0),MATCH(orders!L$1,products!$A$1:$G$1,0))</f>
        <v>8.25</v>
      </c>
      <c r="M660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_xlfn.XLOOKUP(C660,customers!$A$2:$A$1001,customers!$I$2:$I$1001,,0)</f>
        <v>Yes</v>
      </c>
    </row>
    <row r="661" spans="1:16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_xlfn.XLOOKUP(C661,customers!$A$1:$A$1001,customers!$C$1:$C$1001,,0)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>
        <f>INDEX(products!$A$1:$G$49,MATCH(orders!$D661,products!$A$1:$A$49,0),MATCH(orders!K$1,products!$A$1:$G$1,0))</f>
        <v>2.5</v>
      </c>
      <c r="L661">
        <f>INDEX(products!$A$1:$G$49,MATCH(orders!$D661,products!$A$1:$A$49,0),MATCH(orders!L$1,products!$A$1:$G$1,0))</f>
        <v>22.884999999999998</v>
      </c>
      <c r="M661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_xlfn.XLOOKUP(C661,customers!$A$2:$A$1001,customers!$I$2:$I$1001,,0)</f>
        <v>Yes</v>
      </c>
    </row>
    <row r="662" spans="1:16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_xlfn.XLOOKUP(C662,customers!$A$1:$A$1001,customers!$C$1:$C$1001,,0)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>
        <f>INDEX(products!$A$1:$G$49,MATCH(orders!$D662,products!$A$1:$A$49,0),MATCH(orders!K$1,products!$A$1:$G$1,0))</f>
        <v>0.5</v>
      </c>
      <c r="L662">
        <f>INDEX(products!$A$1:$G$49,MATCH(orders!$D662,products!$A$1:$A$49,0),MATCH(orders!L$1,products!$A$1:$G$1,0))</f>
        <v>8.91</v>
      </c>
      <c r="M662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_xlfn.XLOOKUP(C662,customers!$A$2:$A$1001,customers!$I$2:$I$1001,,0)</f>
        <v>No</v>
      </c>
    </row>
    <row r="663" spans="1:16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_xlfn.XLOOKUP(C663,customers!$A$1:$A$1001,customers!$C$1:$C$1001,,0)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>
        <f>INDEX(products!$A$1:$G$49,MATCH(orders!$D663,products!$A$1:$A$49,0),MATCH(orders!K$1,products!$A$1:$G$1,0))</f>
        <v>0.2</v>
      </c>
      <c r="L663">
        <f>INDEX(products!$A$1:$G$49,MATCH(orders!$D663,products!$A$1:$A$49,0),MATCH(orders!L$1,products!$A$1:$G$1,0))</f>
        <v>3.375</v>
      </c>
      <c r="M663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_xlfn.XLOOKUP(C663,customers!$A$2:$A$1001,customers!$I$2:$I$1001,,0)</f>
        <v>Yes</v>
      </c>
    </row>
    <row r="664" spans="1:16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_xlfn.XLOOKUP(C664,customers!$A$1:$A$1001,customers!$C$1:$C$1001,,0)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>
        <f>INDEX(products!$A$1:$G$49,MATCH(orders!$D664,products!$A$1:$A$49,0),MATCH(orders!K$1,products!$A$1:$G$1,0))</f>
        <v>2.5</v>
      </c>
      <c r="L664">
        <f>INDEX(products!$A$1:$G$49,MATCH(orders!$D664,products!$A$1:$A$49,0),MATCH(orders!L$1,products!$A$1:$G$1,0))</f>
        <v>29.784999999999997</v>
      </c>
      <c r="M664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_xlfn.XLOOKUP(C664,customers!$A$2:$A$1001,customers!$I$2:$I$1001,,0)</f>
        <v>No</v>
      </c>
    </row>
    <row r="665" spans="1:16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_xlfn.XLOOKUP(C665,customers!$A$1:$A$1001,customers!$C$1:$C$1001,,0)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>
        <f>INDEX(products!$A$1:$G$49,MATCH(orders!$D665,products!$A$1:$A$49,0),MATCH(orders!K$1,products!$A$1:$G$1,0))</f>
        <v>1</v>
      </c>
      <c r="L665">
        <f>INDEX(products!$A$1:$G$49,MATCH(orders!$D665,products!$A$1:$A$49,0),MATCH(orders!L$1,products!$A$1:$G$1,0))</f>
        <v>11.25</v>
      </c>
      <c r="M66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_xlfn.XLOOKUP(C665,customers!$A$2:$A$1001,customers!$I$2:$I$1001,,0)</f>
        <v>No</v>
      </c>
    </row>
    <row r="666" spans="1:16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_xlfn.XLOOKUP(C666,customers!$A$1:$A$1001,customers!$C$1:$C$1001,,0)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>
        <f>INDEX(products!$A$1:$G$49,MATCH(orders!$D666,products!$A$1:$A$49,0),MATCH(orders!K$1,products!$A$1:$G$1,0))</f>
        <v>1</v>
      </c>
      <c r="L666">
        <f>INDEX(products!$A$1:$G$49,MATCH(orders!$D666,products!$A$1:$A$49,0),MATCH(orders!L$1,products!$A$1:$G$1,0))</f>
        <v>12.15</v>
      </c>
      <c r="M666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_xlfn.XLOOKUP(C666,customers!$A$2:$A$1001,customers!$I$2:$I$1001,,0)</f>
        <v>No</v>
      </c>
    </row>
    <row r="667" spans="1:16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_xlfn.XLOOKUP(C667,customers!$A$1:$A$1001,customers!$C$1:$C$1001,,0)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>
        <f>INDEX(products!$A$1:$G$49,MATCH(orders!$D667,products!$A$1:$A$49,0),MATCH(orders!K$1,products!$A$1:$G$1,0))</f>
        <v>0.2</v>
      </c>
      <c r="L667">
        <f>INDEX(products!$A$1:$G$49,MATCH(orders!$D667,products!$A$1:$A$49,0),MATCH(orders!L$1,products!$A$1:$G$1,0))</f>
        <v>3.8849999999999998</v>
      </c>
      <c r="M667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_xlfn.XLOOKUP(C667,customers!$A$2:$A$1001,customers!$I$2:$I$1001,,0)</f>
        <v>No</v>
      </c>
    </row>
    <row r="668" spans="1:16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_xlfn.XLOOKUP(C668,customers!$A$1:$A$1001,customers!$C$1:$C$1001,,0)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>
        <f>INDEX(products!$A$1:$G$49,MATCH(orders!$D668,products!$A$1:$A$49,0),MATCH(orders!K$1,products!$A$1:$G$1,0))</f>
        <v>2.5</v>
      </c>
      <c r="L668">
        <f>INDEX(products!$A$1:$G$49,MATCH(orders!$D668,products!$A$1:$A$49,0),MATCH(orders!L$1,products!$A$1:$G$1,0))</f>
        <v>22.884999999999998</v>
      </c>
      <c r="M668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_xlfn.XLOOKUP(C668,customers!$A$2:$A$1001,customers!$I$2:$I$1001,,0)</f>
        <v>No</v>
      </c>
    </row>
    <row r="669" spans="1:16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_xlfn.XLOOKUP(C669,customers!$A$1:$A$1001,customers!$C$1:$C$1001,,0)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>
        <f>INDEX(products!$A$1:$G$49,MATCH(orders!$D669,products!$A$1:$A$49,0),MATCH(orders!K$1,products!$A$1:$G$1,0))</f>
        <v>1</v>
      </c>
      <c r="L669">
        <f>INDEX(products!$A$1:$G$49,MATCH(orders!$D669,products!$A$1:$A$49,0),MATCH(orders!L$1,products!$A$1:$G$1,0))</f>
        <v>9.9499999999999993</v>
      </c>
      <c r="M669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_xlfn.XLOOKUP(C669,customers!$A$2:$A$1001,customers!$I$2:$I$1001,,0)</f>
        <v>No</v>
      </c>
    </row>
    <row r="670" spans="1:16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_xlfn.XLOOKUP(C670,customers!$A$1:$A$1001,customers!$C$1:$C$1001,,0)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>
        <f>INDEX(products!$A$1:$G$49,MATCH(orders!$D670,products!$A$1:$A$49,0),MATCH(orders!K$1,products!$A$1:$G$1,0))</f>
        <v>2.5</v>
      </c>
      <c r="L670">
        <f>INDEX(products!$A$1:$G$49,MATCH(orders!$D670,products!$A$1:$A$49,0),MATCH(orders!L$1,products!$A$1:$G$1,0))</f>
        <v>27.484999999999996</v>
      </c>
      <c r="M670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_xlfn.XLOOKUP(C670,customers!$A$2:$A$1001,customers!$I$2:$I$1001,,0)</f>
        <v>Yes</v>
      </c>
    </row>
    <row r="671" spans="1:16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_xlfn.XLOOKUP(C671,customers!$A$1:$A$1001,customers!$C$1:$C$1001,,0)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>
        <f>INDEX(products!$A$1:$G$49,MATCH(orders!$D671,products!$A$1:$A$49,0),MATCH(orders!K$1,products!$A$1:$G$1,0))</f>
        <v>2.5</v>
      </c>
      <c r="L671">
        <f>INDEX(products!$A$1:$G$49,MATCH(orders!$D671,products!$A$1:$A$49,0),MATCH(orders!L$1,products!$A$1:$G$1,0))</f>
        <v>33.464999999999996</v>
      </c>
      <c r="M671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_xlfn.XLOOKUP(C671,customers!$A$2:$A$1001,customers!$I$2:$I$1001,,0)</f>
        <v>No</v>
      </c>
    </row>
    <row r="672" spans="1:16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_xlfn.XLOOKUP(C672,customers!$A$1:$A$1001,customers!$C$1:$C$1001,,0)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>
        <f>INDEX(products!$A$1:$G$49,MATCH(orders!$D672,products!$A$1:$A$49,0),MATCH(orders!K$1,products!$A$1:$G$1,0))</f>
        <v>0.2</v>
      </c>
      <c r="L672">
        <f>INDEX(products!$A$1:$G$49,MATCH(orders!$D672,products!$A$1:$A$49,0),MATCH(orders!L$1,products!$A$1:$G$1,0))</f>
        <v>4.3650000000000002</v>
      </c>
      <c r="M672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_xlfn.XLOOKUP(C672,customers!$A$2:$A$1001,customers!$I$2:$I$1001,,0)</f>
        <v>Yes</v>
      </c>
    </row>
    <row r="673" spans="1:16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_xlfn.XLOOKUP(C673,customers!$A$1:$A$1001,customers!$C$1:$C$1001,,0)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>
        <f>INDEX(products!$A$1:$G$49,MATCH(orders!$D673,products!$A$1:$A$49,0),MATCH(orders!K$1,products!$A$1:$G$1,0))</f>
        <v>1</v>
      </c>
      <c r="L673">
        <f>INDEX(products!$A$1:$G$49,MATCH(orders!$D673,products!$A$1:$A$49,0),MATCH(orders!L$1,products!$A$1:$G$1,0))</f>
        <v>11.95</v>
      </c>
      <c r="M673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_xlfn.XLOOKUP(C673,customers!$A$2:$A$1001,customers!$I$2:$I$1001,,0)</f>
        <v>No</v>
      </c>
    </row>
    <row r="674" spans="1:16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_xlfn.XLOOKUP(C674,customers!$A$1:$A$1001,customers!$C$1:$C$1001,,0)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>
        <f>INDEX(products!$A$1:$G$49,MATCH(orders!$D674,products!$A$1:$A$49,0),MATCH(orders!K$1,products!$A$1:$G$1,0))</f>
        <v>0.5</v>
      </c>
      <c r="L674">
        <f>INDEX(products!$A$1:$G$49,MATCH(orders!$D674,products!$A$1:$A$49,0),MATCH(orders!L$1,products!$A$1:$G$1,0))</f>
        <v>8.73</v>
      </c>
      <c r="M674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_xlfn.XLOOKUP(C674,customers!$A$2:$A$1001,customers!$I$2:$I$1001,,0)</f>
        <v>Yes</v>
      </c>
    </row>
    <row r="675" spans="1:16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_xlfn.XLOOKUP(C675,customers!$A$1:$A$1001,customers!$C$1:$C$1001,,0)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>
        <f>INDEX(products!$A$1:$G$49,MATCH(orders!$D675,products!$A$1:$A$49,0),MATCH(orders!K$1,products!$A$1:$G$1,0))</f>
        <v>1</v>
      </c>
      <c r="L675">
        <f>INDEX(products!$A$1:$G$49,MATCH(orders!$D675,products!$A$1:$A$49,0),MATCH(orders!L$1,products!$A$1:$G$1,0))</f>
        <v>13.75</v>
      </c>
      <c r="M67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_xlfn.XLOOKUP(C675,customers!$A$2:$A$1001,customers!$I$2:$I$1001,,0)</f>
        <v>Yes</v>
      </c>
    </row>
    <row r="676" spans="1:16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_xlfn.XLOOKUP(C676,customers!$A$1:$A$1001,customers!$C$1:$C$1001,,0)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>
        <f>INDEX(products!$A$1:$G$49,MATCH(orders!$D676,products!$A$1:$A$49,0),MATCH(orders!K$1,products!$A$1:$G$1,0))</f>
        <v>2.5</v>
      </c>
      <c r="L676">
        <f>INDEX(products!$A$1:$G$49,MATCH(orders!$D676,products!$A$1:$A$49,0),MATCH(orders!L$1,products!$A$1:$G$1,0))</f>
        <v>29.784999999999997</v>
      </c>
      <c r="M676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_xlfn.XLOOKUP(C676,customers!$A$2:$A$1001,customers!$I$2:$I$1001,,0)</f>
        <v>Yes</v>
      </c>
    </row>
    <row r="677" spans="1:16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>
        <f>_xlfn.XLOOKUP(C677,customers!$A$1:$A$1001,customers!$C$1:$C$1001,,0)</f>
        <v>0</v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>
        <f>INDEX(products!$A$1:$G$49,MATCH(orders!$D677,products!$A$1:$A$49,0),MATCH(orders!K$1,products!$A$1:$G$1,0))</f>
        <v>2.5</v>
      </c>
      <c r="L677">
        <f>INDEX(products!$A$1:$G$49,MATCH(orders!$D677,products!$A$1:$A$49,0),MATCH(orders!L$1,products!$A$1:$G$1,0))</f>
        <v>29.784999999999997</v>
      </c>
      <c r="M677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_xlfn.XLOOKUP(C677,customers!$A$2:$A$1001,customers!$I$2:$I$1001,,0)</f>
        <v>Yes</v>
      </c>
    </row>
    <row r="678" spans="1:16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>
        <f>_xlfn.XLOOKUP(C678,customers!$A$1:$A$1001,customers!$C$1:$C$1001,,0)</f>
        <v>0</v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>
        <f>INDEX(products!$A$1:$G$49,MATCH(orders!$D678,products!$A$1:$A$49,0),MATCH(orders!K$1,products!$A$1:$G$1,0))</f>
        <v>0.5</v>
      </c>
      <c r="L678">
        <f>INDEX(products!$A$1:$G$49,MATCH(orders!$D678,products!$A$1:$A$49,0),MATCH(orders!L$1,products!$A$1:$G$1,0))</f>
        <v>9.51</v>
      </c>
      <c r="M678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_xlfn.XLOOKUP(C678,customers!$A$2:$A$1001,customers!$I$2:$I$1001,,0)</f>
        <v>No</v>
      </c>
    </row>
    <row r="679" spans="1:16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_xlfn.XLOOKUP(C679,customers!$A$1:$A$1001,customers!$C$1:$C$1001,,0)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>
        <f>INDEX(products!$A$1:$G$49,MATCH(orders!$D679,products!$A$1:$A$49,0),MATCH(orders!K$1,products!$A$1:$G$1,0))</f>
        <v>0.5</v>
      </c>
      <c r="L679">
        <f>INDEX(products!$A$1:$G$49,MATCH(orders!$D679,products!$A$1:$A$49,0),MATCH(orders!L$1,products!$A$1:$G$1,0))</f>
        <v>8.73</v>
      </c>
      <c r="M679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_xlfn.XLOOKUP(C679,customers!$A$2:$A$1001,customers!$I$2:$I$1001,,0)</f>
        <v>No</v>
      </c>
    </row>
    <row r="680" spans="1:16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_xlfn.XLOOKUP(C680,customers!$A$1:$A$1001,customers!$C$1:$C$1001,,0)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>
        <f>INDEX(products!$A$1:$G$49,MATCH(orders!$D680,products!$A$1:$A$49,0),MATCH(orders!K$1,products!$A$1:$G$1,0))</f>
        <v>2.5</v>
      </c>
      <c r="L680">
        <f>INDEX(products!$A$1:$G$49,MATCH(orders!$D680,products!$A$1:$A$49,0),MATCH(orders!L$1,products!$A$1:$G$1,0))</f>
        <v>29.784999999999997</v>
      </c>
      <c r="M680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_xlfn.XLOOKUP(C680,customers!$A$2:$A$1001,customers!$I$2:$I$1001,,0)</f>
        <v>Yes</v>
      </c>
    </row>
    <row r="681" spans="1:16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_xlfn.XLOOKUP(C681,customers!$A$1:$A$1001,customers!$C$1:$C$1001,,0)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>
        <f>INDEX(products!$A$1:$G$49,MATCH(orders!$D681,products!$A$1:$A$49,0),MATCH(orders!K$1,products!$A$1:$G$1,0))</f>
        <v>2.5</v>
      </c>
      <c r="L681">
        <f>INDEX(products!$A$1:$G$49,MATCH(orders!$D681,products!$A$1:$A$49,0),MATCH(orders!L$1,products!$A$1:$G$1,0))</f>
        <v>27.484999999999996</v>
      </c>
      <c r="M681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_xlfn.XLOOKUP(C681,customers!$A$2:$A$1001,customers!$I$2:$I$1001,,0)</f>
        <v>No</v>
      </c>
    </row>
    <row r="682" spans="1:16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_xlfn.XLOOKUP(C682,customers!$A$1:$A$1001,customers!$C$1:$C$1001,,0)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>
        <f>INDEX(products!$A$1:$G$49,MATCH(orders!$D682,products!$A$1:$A$49,0),MATCH(orders!K$1,products!$A$1:$G$1,0))</f>
        <v>1</v>
      </c>
      <c r="L682">
        <f>INDEX(products!$A$1:$G$49,MATCH(orders!$D682,products!$A$1:$A$49,0),MATCH(orders!L$1,products!$A$1:$G$1,0))</f>
        <v>11.25</v>
      </c>
      <c r="M682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_xlfn.XLOOKUP(C682,customers!$A$2:$A$1001,customers!$I$2:$I$1001,,0)</f>
        <v>No</v>
      </c>
    </row>
    <row r="683" spans="1:16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_xlfn.XLOOKUP(C683,customers!$A$1:$A$1001,customers!$C$1:$C$1001,,0)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>
        <f>INDEX(products!$A$1:$G$49,MATCH(orders!$D683,products!$A$1:$A$49,0),MATCH(orders!K$1,products!$A$1:$G$1,0))</f>
        <v>0.2</v>
      </c>
      <c r="L683">
        <f>INDEX(products!$A$1:$G$49,MATCH(orders!$D683,products!$A$1:$A$49,0),MATCH(orders!L$1,products!$A$1:$G$1,0))</f>
        <v>4.7549999999999999</v>
      </c>
      <c r="M683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_xlfn.XLOOKUP(C683,customers!$A$2:$A$1001,customers!$I$2:$I$1001,,0)</f>
        <v>Yes</v>
      </c>
    </row>
    <row r="684" spans="1:16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_xlfn.XLOOKUP(C684,customers!$A$1:$A$1001,customers!$C$1:$C$1001,,0)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>
        <f>INDEX(products!$A$1:$G$49,MATCH(orders!$D684,products!$A$1:$A$49,0),MATCH(orders!K$1,products!$A$1:$G$1,0))</f>
        <v>0.2</v>
      </c>
      <c r="L684">
        <f>INDEX(products!$A$1:$G$49,MATCH(orders!$D684,products!$A$1:$A$49,0),MATCH(orders!L$1,products!$A$1:$G$1,0))</f>
        <v>4.125</v>
      </c>
      <c r="M684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_xlfn.XLOOKUP(C684,customers!$A$2:$A$1001,customers!$I$2:$I$1001,,0)</f>
        <v>Yes</v>
      </c>
    </row>
    <row r="685" spans="1:16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_xlfn.XLOOKUP(C685,customers!$A$1:$A$1001,customers!$C$1:$C$1001,,0)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>
        <f>INDEX(products!$A$1:$G$49,MATCH(orders!$D685,products!$A$1:$A$49,0),MATCH(orders!K$1,products!$A$1:$G$1,0))</f>
        <v>0.5</v>
      </c>
      <c r="L685">
        <f>INDEX(products!$A$1:$G$49,MATCH(orders!$D685,products!$A$1:$A$49,0),MATCH(orders!L$1,products!$A$1:$G$1,0))</f>
        <v>7.77</v>
      </c>
      <c r="M68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_xlfn.XLOOKUP(C685,customers!$A$2:$A$1001,customers!$I$2:$I$1001,,0)</f>
        <v>No</v>
      </c>
    </row>
    <row r="686" spans="1:16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>
        <f>_xlfn.XLOOKUP(C686,customers!$A$1:$A$1001,customers!$C$1:$C$1001,,0)</f>
        <v>0</v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>
        <f>INDEX(products!$A$1:$G$49,MATCH(orders!$D686,products!$A$1:$A$49,0),MATCH(orders!K$1,products!$A$1:$G$1,0))</f>
        <v>1</v>
      </c>
      <c r="L686">
        <f>INDEX(products!$A$1:$G$49,MATCH(orders!$D686,products!$A$1:$A$49,0),MATCH(orders!L$1,products!$A$1:$G$1,0))</f>
        <v>11.95</v>
      </c>
      <c r="M686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_xlfn.XLOOKUP(C686,customers!$A$2:$A$1001,customers!$I$2:$I$1001,,0)</f>
        <v>No</v>
      </c>
    </row>
    <row r="687" spans="1:16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_xlfn.XLOOKUP(C687,customers!$A$1:$A$1001,customers!$C$1:$C$1001,,0)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>
        <f>INDEX(products!$A$1:$G$49,MATCH(orders!$D687,products!$A$1:$A$49,0),MATCH(orders!K$1,products!$A$1:$G$1,0))</f>
        <v>2.5</v>
      </c>
      <c r="L687">
        <f>INDEX(products!$A$1:$G$49,MATCH(orders!$D687,products!$A$1:$A$49,0),MATCH(orders!L$1,products!$A$1:$G$1,0))</f>
        <v>36.454999999999998</v>
      </c>
      <c r="M687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_xlfn.XLOOKUP(C687,customers!$A$2:$A$1001,customers!$I$2:$I$1001,,0)</f>
        <v>Yes</v>
      </c>
    </row>
    <row r="688" spans="1:16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_xlfn.XLOOKUP(C688,customers!$A$1:$A$1001,customers!$C$1:$C$1001,,0)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>
        <f>INDEX(products!$A$1:$G$49,MATCH(orders!$D688,products!$A$1:$A$49,0),MATCH(orders!K$1,products!$A$1:$G$1,0))</f>
        <v>0.2</v>
      </c>
      <c r="L688">
        <f>INDEX(products!$A$1:$G$49,MATCH(orders!$D688,products!$A$1:$A$49,0),MATCH(orders!L$1,products!$A$1:$G$1,0))</f>
        <v>2.6849999999999996</v>
      </c>
      <c r="M688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_xlfn.XLOOKUP(C688,customers!$A$2:$A$1001,customers!$I$2:$I$1001,,0)</f>
        <v>Yes</v>
      </c>
    </row>
    <row r="689" spans="1:16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_xlfn.XLOOKUP(C689,customers!$A$1:$A$1001,customers!$C$1:$C$1001,,0)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>
        <f>INDEX(products!$A$1:$G$49,MATCH(orders!$D689,products!$A$1:$A$49,0),MATCH(orders!K$1,products!$A$1:$G$1,0))</f>
        <v>0.5</v>
      </c>
      <c r="L689">
        <f>INDEX(products!$A$1:$G$49,MATCH(orders!$D689,products!$A$1:$A$49,0),MATCH(orders!L$1,products!$A$1:$G$1,0))</f>
        <v>8.25</v>
      </c>
      <c r="M689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_xlfn.XLOOKUP(C689,customers!$A$2:$A$1001,customers!$I$2:$I$1001,,0)</f>
        <v>No</v>
      </c>
    </row>
    <row r="690" spans="1:16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_xlfn.XLOOKUP(C690,customers!$A$1:$A$1001,customers!$C$1:$C$1001,,0)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>
        <f>INDEX(products!$A$1:$G$49,MATCH(orders!$D690,products!$A$1:$A$49,0),MATCH(orders!K$1,products!$A$1:$G$1,0))</f>
        <v>1</v>
      </c>
      <c r="L690">
        <f>INDEX(products!$A$1:$G$49,MATCH(orders!$D690,products!$A$1:$A$49,0),MATCH(orders!L$1,products!$A$1:$G$1,0))</f>
        <v>12.95</v>
      </c>
      <c r="M690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_xlfn.XLOOKUP(C690,customers!$A$2:$A$1001,customers!$I$2:$I$1001,,0)</f>
        <v>No</v>
      </c>
    </row>
    <row r="691" spans="1:16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_xlfn.XLOOKUP(C691,customers!$A$1:$A$1001,customers!$C$1:$C$1001,,0)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>
        <f>INDEX(products!$A$1:$G$49,MATCH(orders!$D691,products!$A$1:$A$49,0),MATCH(orders!K$1,products!$A$1:$G$1,0))</f>
        <v>0.5</v>
      </c>
      <c r="L691">
        <f>INDEX(products!$A$1:$G$49,MATCH(orders!$D691,products!$A$1:$A$49,0),MATCH(orders!L$1,products!$A$1:$G$1,0))</f>
        <v>6.75</v>
      </c>
      <c r="M691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_xlfn.XLOOKUP(C691,customers!$A$2:$A$1001,customers!$I$2:$I$1001,,0)</f>
        <v>No</v>
      </c>
    </row>
    <row r="692" spans="1:16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>
        <f>_xlfn.XLOOKUP(C692,customers!$A$1:$A$1001,customers!$C$1:$C$1001,,0)</f>
        <v>0</v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>
        <f>INDEX(products!$A$1:$G$49,MATCH(orders!$D692,products!$A$1:$A$49,0),MATCH(orders!K$1,products!$A$1:$G$1,0))</f>
        <v>2.5</v>
      </c>
      <c r="L692">
        <f>INDEX(products!$A$1:$G$49,MATCH(orders!$D692,products!$A$1:$A$49,0),MATCH(orders!L$1,products!$A$1:$G$1,0))</f>
        <v>29.784999999999997</v>
      </c>
      <c r="M692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_xlfn.XLOOKUP(C692,customers!$A$2:$A$1001,customers!$I$2:$I$1001,,0)</f>
        <v>No</v>
      </c>
    </row>
    <row r="693" spans="1:16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_xlfn.XLOOKUP(C693,customers!$A$1:$A$1001,customers!$C$1:$C$1001,,0)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>
        <f>INDEX(products!$A$1:$G$49,MATCH(orders!$D693,products!$A$1:$A$49,0),MATCH(orders!K$1,products!$A$1:$G$1,0))</f>
        <v>1</v>
      </c>
      <c r="L693">
        <f>INDEX(products!$A$1:$G$49,MATCH(orders!$D693,products!$A$1:$A$49,0),MATCH(orders!L$1,products!$A$1:$G$1,0))</f>
        <v>11.25</v>
      </c>
      <c r="M693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_xlfn.XLOOKUP(C693,customers!$A$2:$A$1001,customers!$I$2:$I$1001,,0)</f>
        <v>No</v>
      </c>
    </row>
    <row r="694" spans="1:16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_xlfn.XLOOKUP(C694,customers!$A$1:$A$1001,customers!$C$1:$C$1001,,0)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>
        <f>INDEX(products!$A$1:$G$49,MATCH(orders!$D694,products!$A$1:$A$49,0),MATCH(orders!K$1,products!$A$1:$G$1,0))</f>
        <v>1</v>
      </c>
      <c r="L694">
        <f>INDEX(products!$A$1:$G$49,MATCH(orders!$D694,products!$A$1:$A$49,0),MATCH(orders!L$1,products!$A$1:$G$1,0))</f>
        <v>12.95</v>
      </c>
      <c r="M694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_xlfn.XLOOKUP(C694,customers!$A$2:$A$1001,customers!$I$2:$I$1001,,0)</f>
        <v>No</v>
      </c>
    </row>
    <row r="695" spans="1:16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_xlfn.XLOOKUP(C695,customers!$A$1:$A$1001,customers!$C$1:$C$1001,,0)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>
        <f>INDEX(products!$A$1:$G$49,MATCH(orders!$D695,products!$A$1:$A$49,0),MATCH(orders!K$1,products!$A$1:$G$1,0))</f>
        <v>2.5</v>
      </c>
      <c r="L695">
        <f>INDEX(products!$A$1:$G$49,MATCH(orders!$D695,products!$A$1:$A$49,0),MATCH(orders!L$1,products!$A$1:$G$1,0))</f>
        <v>25.874999999999996</v>
      </c>
      <c r="M69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_xlfn.XLOOKUP(C695,customers!$A$2:$A$1001,customers!$I$2:$I$1001,,0)</f>
        <v>Yes</v>
      </c>
    </row>
    <row r="696" spans="1:16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_xlfn.XLOOKUP(C696,customers!$A$1:$A$1001,customers!$C$1:$C$1001,,0)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>
        <f>INDEX(products!$A$1:$G$49,MATCH(orders!$D696,products!$A$1:$A$49,0),MATCH(orders!K$1,products!$A$1:$G$1,0))</f>
        <v>0.5</v>
      </c>
      <c r="L696">
        <f>INDEX(products!$A$1:$G$49,MATCH(orders!$D696,products!$A$1:$A$49,0),MATCH(orders!L$1,products!$A$1:$G$1,0))</f>
        <v>7.29</v>
      </c>
      <c r="M696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_xlfn.XLOOKUP(C696,customers!$A$2:$A$1001,customers!$I$2:$I$1001,,0)</f>
        <v>No</v>
      </c>
    </row>
    <row r="697" spans="1:16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_xlfn.XLOOKUP(C697,customers!$A$1:$A$1001,customers!$C$1:$C$1001,,0)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>
        <f>INDEX(products!$A$1:$G$49,MATCH(orders!$D697,products!$A$1:$A$49,0),MATCH(orders!K$1,products!$A$1:$G$1,0))</f>
        <v>2.5</v>
      </c>
      <c r="L697">
        <f>INDEX(products!$A$1:$G$49,MATCH(orders!$D697,products!$A$1:$A$49,0),MATCH(orders!L$1,products!$A$1:$G$1,0))</f>
        <v>36.454999999999998</v>
      </c>
      <c r="M697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_xlfn.XLOOKUP(C697,customers!$A$2:$A$1001,customers!$I$2:$I$1001,,0)</f>
        <v>Yes</v>
      </c>
    </row>
    <row r="698" spans="1:16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_xlfn.XLOOKUP(C698,customers!$A$1:$A$1001,customers!$C$1:$C$1001,,0)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>
        <f>INDEX(products!$A$1:$G$49,MATCH(orders!$D698,products!$A$1:$A$49,0),MATCH(orders!K$1,products!$A$1:$G$1,0))</f>
        <v>0.5</v>
      </c>
      <c r="L698">
        <f>INDEX(products!$A$1:$G$49,MATCH(orders!$D698,products!$A$1:$A$49,0),MATCH(orders!L$1,products!$A$1:$G$1,0))</f>
        <v>7.77</v>
      </c>
      <c r="M698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_xlfn.XLOOKUP(C698,customers!$A$2:$A$1001,customers!$I$2:$I$1001,,0)</f>
        <v>No</v>
      </c>
    </row>
    <row r="699" spans="1:16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>
        <f>_xlfn.XLOOKUP(C699,customers!$A$1:$A$1001,customers!$C$1:$C$1001,,0)</f>
        <v>0</v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>
        <f>INDEX(products!$A$1:$G$49,MATCH(orders!$D699,products!$A$1:$A$49,0),MATCH(orders!K$1,products!$A$1:$G$1,0))</f>
        <v>0.5</v>
      </c>
      <c r="L699">
        <f>INDEX(products!$A$1:$G$49,MATCH(orders!$D699,products!$A$1:$A$49,0),MATCH(orders!L$1,products!$A$1:$G$1,0))</f>
        <v>6.75</v>
      </c>
      <c r="M699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_xlfn.XLOOKUP(C699,customers!$A$2:$A$1001,customers!$I$2:$I$1001,,0)</f>
        <v>No</v>
      </c>
    </row>
    <row r="700" spans="1:16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_xlfn.XLOOKUP(C700,customers!$A$1:$A$1001,customers!$C$1:$C$1001,,0)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>
        <f>INDEX(products!$A$1:$G$49,MATCH(orders!$D700,products!$A$1:$A$49,0),MATCH(orders!K$1,products!$A$1:$G$1,0))</f>
        <v>1</v>
      </c>
      <c r="L700">
        <f>INDEX(products!$A$1:$G$49,MATCH(orders!$D700,products!$A$1:$A$49,0),MATCH(orders!L$1,products!$A$1:$G$1,0))</f>
        <v>12.95</v>
      </c>
      <c r="M700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_xlfn.XLOOKUP(C700,customers!$A$2:$A$1001,customers!$I$2:$I$1001,,0)</f>
        <v>No</v>
      </c>
    </row>
    <row r="701" spans="1:16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_xlfn.XLOOKUP(C701,customers!$A$1:$A$1001,customers!$C$1:$C$1001,,0)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>
        <f>INDEX(products!$A$1:$G$49,MATCH(orders!$D701,products!$A$1:$A$49,0),MATCH(orders!K$1,products!$A$1:$G$1,0))</f>
        <v>0.5</v>
      </c>
      <c r="L701">
        <f>INDEX(products!$A$1:$G$49,MATCH(orders!$D701,products!$A$1:$A$49,0),MATCH(orders!L$1,products!$A$1:$G$1,0))</f>
        <v>5.97</v>
      </c>
      <c r="M701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_xlfn.XLOOKUP(C701,customers!$A$2:$A$1001,customers!$I$2:$I$1001,,0)</f>
        <v>Yes</v>
      </c>
    </row>
    <row r="702" spans="1:16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_xlfn.XLOOKUP(C702,customers!$A$1:$A$1001,customers!$C$1:$C$1001,,0)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>
        <f>INDEX(products!$A$1:$G$49,MATCH(orders!$D702,products!$A$1:$A$49,0),MATCH(orders!K$1,products!$A$1:$G$1,0))</f>
        <v>0.5</v>
      </c>
      <c r="L702">
        <f>INDEX(products!$A$1:$G$49,MATCH(orders!$D702,products!$A$1:$A$49,0),MATCH(orders!L$1,products!$A$1:$G$1,0))</f>
        <v>9.51</v>
      </c>
      <c r="M702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_xlfn.XLOOKUP(C702,customers!$A$2:$A$1001,customers!$I$2:$I$1001,,0)</f>
        <v>No</v>
      </c>
    </row>
    <row r="703" spans="1:16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_xlfn.XLOOKUP(C703,customers!$A$1:$A$1001,customers!$C$1:$C$1001,,0)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>
        <f>INDEX(products!$A$1:$G$49,MATCH(orders!$D703,products!$A$1:$A$49,0),MATCH(orders!K$1,products!$A$1:$G$1,0))</f>
        <v>0.5</v>
      </c>
      <c r="L703">
        <f>INDEX(products!$A$1:$G$49,MATCH(orders!$D703,products!$A$1:$A$49,0),MATCH(orders!L$1,products!$A$1:$G$1,0))</f>
        <v>5.97</v>
      </c>
      <c r="M703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_xlfn.XLOOKUP(C703,customers!$A$2:$A$1001,customers!$I$2:$I$1001,,0)</f>
        <v>Yes</v>
      </c>
    </row>
    <row r="704" spans="1:16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_xlfn.XLOOKUP(C704,customers!$A$1:$A$1001,customers!$C$1:$C$1001,,0)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>
        <f>INDEX(products!$A$1:$G$49,MATCH(orders!$D704,products!$A$1:$A$49,0),MATCH(orders!K$1,products!$A$1:$G$1,0))</f>
        <v>0.5</v>
      </c>
      <c r="L704">
        <f>INDEX(products!$A$1:$G$49,MATCH(orders!$D704,products!$A$1:$A$49,0),MATCH(orders!L$1,products!$A$1:$G$1,0))</f>
        <v>7.77</v>
      </c>
      <c r="M704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_xlfn.XLOOKUP(C704,customers!$A$2:$A$1001,customers!$I$2:$I$1001,,0)</f>
        <v>Yes</v>
      </c>
    </row>
    <row r="705" spans="1:16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>
        <f>_xlfn.XLOOKUP(C705,customers!$A$1:$A$1001,customers!$C$1:$C$1001,,0)</f>
        <v>0</v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>
        <f>INDEX(products!$A$1:$G$49,MATCH(orders!$D705,products!$A$1:$A$49,0),MATCH(orders!K$1,products!$A$1:$G$1,0))</f>
        <v>2.5</v>
      </c>
      <c r="L705">
        <f>INDEX(products!$A$1:$G$49,MATCH(orders!$D705,products!$A$1:$A$49,0),MATCH(orders!L$1,products!$A$1:$G$1,0))</f>
        <v>29.784999999999997</v>
      </c>
      <c r="M70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_xlfn.XLOOKUP(C705,customers!$A$2:$A$1001,customers!$I$2:$I$1001,,0)</f>
        <v>Yes</v>
      </c>
    </row>
    <row r="706" spans="1:16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>
        <f>_xlfn.XLOOKUP(C706,customers!$A$1:$A$1001,customers!$C$1:$C$1001,,0)</f>
        <v>0</v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>
        <f>INDEX(products!$A$1:$G$49,MATCH(orders!$D706,products!$A$1:$A$49,0),MATCH(orders!K$1,products!$A$1:$G$1,0))</f>
        <v>0.2</v>
      </c>
      <c r="L706">
        <f>INDEX(products!$A$1:$G$49,MATCH(orders!$D706,products!$A$1:$A$49,0),MATCH(orders!L$1,products!$A$1:$G$1,0))</f>
        <v>3.645</v>
      </c>
      <c r="M706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_xlfn.XLOOKUP(C706,customers!$A$2:$A$1001,customers!$I$2:$I$1001,,0)</f>
        <v>Yes</v>
      </c>
    </row>
    <row r="707" spans="1:16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_xlfn.XLOOKUP(C707,customers!$A$1:$A$1001,customers!$C$1:$C$1001,,0)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>
        <f>INDEX(products!$A$1:$G$49,MATCH(orders!$D707,products!$A$1:$A$49,0),MATCH(orders!K$1,products!$A$1:$G$1,0))</f>
        <v>0.5</v>
      </c>
      <c r="L707">
        <f>INDEX(products!$A$1:$G$49,MATCH(orders!$D707,products!$A$1:$A$49,0),MATCH(orders!L$1,products!$A$1:$G$1,0))</f>
        <v>8.91</v>
      </c>
      <c r="M707">
        <f t="shared" ref="M707:M770" si="33">L707*E707</f>
        <v>17.82</v>
      </c>
      <c r="N707" t="str">
        <f t="shared" ref="N707:N770" si="34">IF(I707="Rob","Robusta",IF(I707="Exc","Excelsa",IF(I707="Lib","Liberica",IF(I707="Ara","Arabica"))))</f>
        <v>Excelsa</v>
      </c>
      <c r="O707" t="str">
        <f t="shared" si="32"/>
        <v>Light</v>
      </c>
      <c r="P707" t="str">
        <f>_xlfn.XLOOKUP(C707,customers!$A$2:$A$1001,customers!$I$2:$I$1001,,0)</f>
        <v>No</v>
      </c>
    </row>
    <row r="708" spans="1:16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_xlfn.XLOOKUP(C708,customers!$A$1:$A$1001,customers!$C$1:$C$1001,,0)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>
        <f>INDEX(products!$A$1:$G$49,MATCH(orders!$D708,products!$A$1:$A$49,0),MATCH(orders!K$1,products!$A$1:$G$1,0))</f>
        <v>0.2</v>
      </c>
      <c r="L708">
        <f>INDEX(products!$A$1:$G$49,MATCH(orders!$D708,products!$A$1:$A$49,0),MATCH(orders!L$1,products!$A$1:$G$1,0))</f>
        <v>4.125</v>
      </c>
      <c r="M708">
        <f t="shared" si="33"/>
        <v>12.375</v>
      </c>
      <c r="N708" t="str">
        <f t="shared" si="34"/>
        <v>Excelsa</v>
      </c>
      <c r="O708" t="str">
        <f t="shared" si="32"/>
        <v>Medium</v>
      </c>
      <c r="P708" t="str">
        <f>_xlfn.XLOOKUP(C708,customers!$A$2:$A$1001,customers!$I$2:$I$1001,,0)</f>
        <v>No</v>
      </c>
    </row>
    <row r="709" spans="1:16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>
        <f>_xlfn.XLOOKUP(C709,customers!$A$1:$A$1001,customers!$C$1:$C$1001,,0)</f>
        <v>0</v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>
        <f>INDEX(products!$A$1:$G$49,MATCH(orders!$D709,products!$A$1:$A$49,0),MATCH(orders!K$1,products!$A$1:$G$1,0))</f>
        <v>1</v>
      </c>
      <c r="L709">
        <f>INDEX(products!$A$1:$G$49,MATCH(orders!$D709,products!$A$1:$A$49,0),MATCH(orders!L$1,products!$A$1:$G$1,0))</f>
        <v>12.95</v>
      </c>
      <c r="M709">
        <f t="shared" si="33"/>
        <v>25.9</v>
      </c>
      <c r="N709" t="str">
        <f t="shared" si="34"/>
        <v>Liberica</v>
      </c>
      <c r="O709" t="str">
        <f t="shared" ref="O709:O772" si="35">IF(J709="L","Light",IF(J709="M","Medium",IF(J709="D","Dark")))</f>
        <v>Dark</v>
      </c>
      <c r="P709" t="str">
        <f>_xlfn.XLOOKUP(C709,customers!$A$2:$A$1001,customers!$I$2:$I$1001,,0)</f>
        <v>No</v>
      </c>
    </row>
    <row r="710" spans="1:16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_xlfn.XLOOKUP(C710,customers!$A$1:$A$1001,customers!$C$1:$C$1001,,0)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>
        <f>INDEX(products!$A$1:$G$49,MATCH(orders!$D710,products!$A$1:$A$49,0),MATCH(orders!K$1,products!$A$1:$G$1,0))</f>
        <v>0.5</v>
      </c>
      <c r="L710">
        <f>INDEX(products!$A$1:$G$49,MATCH(orders!$D710,products!$A$1:$A$49,0),MATCH(orders!L$1,products!$A$1:$G$1,0))</f>
        <v>6.75</v>
      </c>
      <c r="M710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_xlfn.XLOOKUP(C710,customers!$A$2:$A$1001,customers!$I$2:$I$1001,,0)</f>
        <v>Yes</v>
      </c>
    </row>
    <row r="711" spans="1:16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>
        <f>_xlfn.XLOOKUP(C711,customers!$A$1:$A$1001,customers!$C$1:$C$1001,,0)</f>
        <v>0</v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>
        <f>INDEX(products!$A$1:$G$49,MATCH(orders!$D711,products!$A$1:$A$49,0),MATCH(orders!K$1,products!$A$1:$G$1,0))</f>
        <v>0.5</v>
      </c>
      <c r="L711">
        <f>INDEX(products!$A$1:$G$49,MATCH(orders!$D711,products!$A$1:$A$49,0),MATCH(orders!L$1,products!$A$1:$G$1,0))</f>
        <v>8.91</v>
      </c>
      <c r="M711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_xlfn.XLOOKUP(C711,customers!$A$2:$A$1001,customers!$I$2:$I$1001,,0)</f>
        <v>Yes</v>
      </c>
    </row>
    <row r="712" spans="1:16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_xlfn.XLOOKUP(C712,customers!$A$1:$A$1001,customers!$C$1:$C$1001,,0)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>
        <f>INDEX(products!$A$1:$G$49,MATCH(orders!$D712,products!$A$1:$A$49,0),MATCH(orders!K$1,products!$A$1:$G$1,0))</f>
        <v>0.5</v>
      </c>
      <c r="L712">
        <f>INDEX(products!$A$1:$G$49,MATCH(orders!$D712,products!$A$1:$A$49,0),MATCH(orders!L$1,products!$A$1:$G$1,0))</f>
        <v>8.25</v>
      </c>
      <c r="M712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_xlfn.XLOOKUP(C712,customers!$A$2:$A$1001,customers!$I$2:$I$1001,,0)</f>
        <v>No</v>
      </c>
    </row>
    <row r="713" spans="1:16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_xlfn.XLOOKUP(C713,customers!$A$1:$A$1001,customers!$C$1:$C$1001,,0)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>
        <f>INDEX(products!$A$1:$G$49,MATCH(orders!$D713,products!$A$1:$A$49,0),MATCH(orders!K$1,products!$A$1:$G$1,0))</f>
        <v>0.2</v>
      </c>
      <c r="L713">
        <f>INDEX(products!$A$1:$G$49,MATCH(orders!$D713,products!$A$1:$A$49,0),MATCH(orders!L$1,products!$A$1:$G$1,0))</f>
        <v>2.9849999999999999</v>
      </c>
      <c r="M713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_xlfn.XLOOKUP(C713,customers!$A$2:$A$1001,customers!$I$2:$I$1001,,0)</f>
        <v>No</v>
      </c>
    </row>
    <row r="714" spans="1:16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>
        <f>_xlfn.XLOOKUP(C714,customers!$A$1:$A$1001,customers!$C$1:$C$1001,,0)</f>
        <v>0</v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>
        <f>INDEX(products!$A$1:$G$49,MATCH(orders!$D714,products!$A$1:$A$49,0),MATCH(orders!K$1,products!$A$1:$G$1,0))</f>
        <v>0.5</v>
      </c>
      <c r="L714">
        <f>INDEX(products!$A$1:$G$49,MATCH(orders!$D714,products!$A$1:$A$49,0),MATCH(orders!L$1,products!$A$1:$G$1,0))</f>
        <v>8.25</v>
      </c>
      <c r="M714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_xlfn.XLOOKUP(C714,customers!$A$2:$A$1001,customers!$I$2:$I$1001,,0)</f>
        <v>No</v>
      </c>
    </row>
    <row r="715" spans="1:16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_xlfn.XLOOKUP(C715,customers!$A$1:$A$1001,customers!$C$1:$C$1001,,0)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>
        <f>INDEX(products!$A$1:$G$49,MATCH(orders!$D715,products!$A$1:$A$49,0),MATCH(orders!K$1,products!$A$1:$G$1,0))</f>
        <v>0.2</v>
      </c>
      <c r="L715">
        <f>INDEX(products!$A$1:$G$49,MATCH(orders!$D715,products!$A$1:$A$49,0),MATCH(orders!L$1,products!$A$1:$G$1,0))</f>
        <v>2.9849999999999999</v>
      </c>
      <c r="M71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_xlfn.XLOOKUP(C715,customers!$A$2:$A$1001,customers!$I$2:$I$1001,,0)</f>
        <v>No</v>
      </c>
    </row>
    <row r="716" spans="1:16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_xlfn.XLOOKUP(C716,customers!$A$1:$A$1001,customers!$C$1:$C$1001,,0)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>
        <f>INDEX(products!$A$1:$G$49,MATCH(orders!$D716,products!$A$1:$A$49,0),MATCH(orders!K$1,products!$A$1:$G$1,0))</f>
        <v>0.2</v>
      </c>
      <c r="L716">
        <f>INDEX(products!$A$1:$G$49,MATCH(orders!$D716,products!$A$1:$A$49,0),MATCH(orders!L$1,products!$A$1:$G$1,0))</f>
        <v>3.645</v>
      </c>
      <c r="M716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_xlfn.XLOOKUP(C716,customers!$A$2:$A$1001,customers!$I$2:$I$1001,,0)</f>
        <v>Yes</v>
      </c>
    </row>
    <row r="717" spans="1:16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_xlfn.XLOOKUP(C717,customers!$A$1:$A$1001,customers!$C$1:$C$1001,,0)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>
        <f>INDEX(products!$A$1:$G$49,MATCH(orders!$D717,products!$A$1:$A$49,0),MATCH(orders!K$1,products!$A$1:$G$1,0))</f>
        <v>1</v>
      </c>
      <c r="L717">
        <f>INDEX(products!$A$1:$G$49,MATCH(orders!$D717,products!$A$1:$A$49,0),MATCH(orders!L$1,products!$A$1:$G$1,0))</f>
        <v>14.85</v>
      </c>
      <c r="M717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_xlfn.XLOOKUP(C717,customers!$A$2:$A$1001,customers!$I$2:$I$1001,,0)</f>
        <v>No</v>
      </c>
    </row>
    <row r="718" spans="1:16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_xlfn.XLOOKUP(C718,customers!$A$1:$A$1001,customers!$C$1:$C$1001,,0)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>
        <f>INDEX(products!$A$1:$G$49,MATCH(orders!$D718,products!$A$1:$A$49,0),MATCH(orders!K$1,products!$A$1:$G$1,0))</f>
        <v>1</v>
      </c>
      <c r="L718">
        <f>INDEX(products!$A$1:$G$49,MATCH(orders!$D718,products!$A$1:$A$49,0),MATCH(orders!L$1,products!$A$1:$G$1,0))</f>
        <v>11.95</v>
      </c>
      <c r="M718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_xlfn.XLOOKUP(C718,customers!$A$2:$A$1001,customers!$I$2:$I$1001,,0)</f>
        <v>No</v>
      </c>
    </row>
    <row r="719" spans="1:16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_xlfn.XLOOKUP(C719,customers!$A$1:$A$1001,customers!$C$1:$C$1001,,0)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>
        <f>INDEX(products!$A$1:$G$49,MATCH(orders!$D719,products!$A$1:$A$49,0),MATCH(orders!K$1,products!$A$1:$G$1,0))</f>
        <v>2.5</v>
      </c>
      <c r="L719">
        <f>INDEX(products!$A$1:$G$49,MATCH(orders!$D719,products!$A$1:$A$49,0),MATCH(orders!L$1,products!$A$1:$G$1,0))</f>
        <v>22.884999999999998</v>
      </c>
      <c r="M719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_xlfn.XLOOKUP(C719,customers!$A$2:$A$1001,customers!$I$2:$I$1001,,0)</f>
        <v>No</v>
      </c>
    </row>
    <row r="720" spans="1:16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_xlfn.XLOOKUP(C720,customers!$A$1:$A$1001,customers!$C$1:$C$1001,,0)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>
        <f>INDEX(products!$A$1:$G$49,MATCH(orders!$D720,products!$A$1:$A$49,0),MATCH(orders!K$1,products!$A$1:$G$1,0))</f>
        <v>1</v>
      </c>
      <c r="L720">
        <f>INDEX(products!$A$1:$G$49,MATCH(orders!$D720,products!$A$1:$A$49,0),MATCH(orders!L$1,products!$A$1:$G$1,0))</f>
        <v>12.95</v>
      </c>
      <c r="M720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_xlfn.XLOOKUP(C720,customers!$A$2:$A$1001,customers!$I$2:$I$1001,,0)</f>
        <v>No</v>
      </c>
    </row>
    <row r="721" spans="1:16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_xlfn.XLOOKUP(C721,customers!$A$1:$A$1001,customers!$C$1:$C$1001,,0)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>
        <f>INDEX(products!$A$1:$G$49,MATCH(orders!$D721,products!$A$1:$A$49,0),MATCH(orders!K$1,products!$A$1:$G$1,0))</f>
        <v>1</v>
      </c>
      <c r="L721">
        <f>INDEX(products!$A$1:$G$49,MATCH(orders!$D721,products!$A$1:$A$49,0),MATCH(orders!L$1,products!$A$1:$G$1,0))</f>
        <v>15.85</v>
      </c>
      <c r="M721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_xlfn.XLOOKUP(C721,customers!$A$2:$A$1001,customers!$I$2:$I$1001,,0)</f>
        <v>Yes</v>
      </c>
    </row>
    <row r="722" spans="1:16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_xlfn.XLOOKUP(C722,customers!$A$1:$A$1001,customers!$C$1:$C$1001,,0)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>
        <f>INDEX(products!$A$1:$G$49,MATCH(orders!$D722,products!$A$1:$A$49,0),MATCH(orders!K$1,products!$A$1:$G$1,0))</f>
        <v>0.5</v>
      </c>
      <c r="L722">
        <f>INDEX(products!$A$1:$G$49,MATCH(orders!$D722,products!$A$1:$A$49,0),MATCH(orders!L$1,products!$A$1:$G$1,0))</f>
        <v>7.29</v>
      </c>
      <c r="M722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_xlfn.XLOOKUP(C722,customers!$A$2:$A$1001,customers!$I$2:$I$1001,,0)</f>
        <v>Yes</v>
      </c>
    </row>
    <row r="723" spans="1:16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_xlfn.XLOOKUP(C723,customers!$A$1:$A$1001,customers!$C$1:$C$1001,,0)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>
        <f>INDEX(products!$A$1:$G$49,MATCH(orders!$D723,products!$A$1:$A$49,0),MATCH(orders!K$1,products!$A$1:$G$1,0))</f>
        <v>0.2</v>
      </c>
      <c r="L723">
        <f>INDEX(products!$A$1:$G$49,MATCH(orders!$D723,products!$A$1:$A$49,0),MATCH(orders!L$1,products!$A$1:$G$1,0))</f>
        <v>2.9849999999999999</v>
      </c>
      <c r="M723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_xlfn.XLOOKUP(C723,customers!$A$2:$A$1001,customers!$I$2:$I$1001,,0)</f>
        <v>Yes</v>
      </c>
    </row>
    <row r="724" spans="1:16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>
        <f>_xlfn.XLOOKUP(C724,customers!$A$1:$A$1001,customers!$C$1:$C$1001,,0)</f>
        <v>0</v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>
        <f>INDEX(products!$A$1:$G$49,MATCH(orders!$D724,products!$A$1:$A$49,0),MATCH(orders!K$1,products!$A$1:$G$1,0))</f>
        <v>1</v>
      </c>
      <c r="L724">
        <f>INDEX(products!$A$1:$G$49,MATCH(orders!$D724,products!$A$1:$A$49,0),MATCH(orders!L$1,products!$A$1:$G$1,0))</f>
        <v>12.15</v>
      </c>
      <c r="M724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_xlfn.XLOOKUP(C724,customers!$A$2:$A$1001,customers!$I$2:$I$1001,,0)</f>
        <v>No</v>
      </c>
    </row>
    <row r="725" spans="1:16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_xlfn.XLOOKUP(C725,customers!$A$1:$A$1001,customers!$C$1:$C$1001,,0)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>
        <f>INDEX(products!$A$1:$G$49,MATCH(orders!$D725,products!$A$1:$A$49,0),MATCH(orders!K$1,products!$A$1:$G$1,0))</f>
        <v>2.5</v>
      </c>
      <c r="L725">
        <f>INDEX(products!$A$1:$G$49,MATCH(orders!$D725,products!$A$1:$A$49,0),MATCH(orders!L$1,products!$A$1:$G$1,0))</f>
        <v>31.624999999999996</v>
      </c>
      <c r="M72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_xlfn.XLOOKUP(C725,customers!$A$2:$A$1001,customers!$I$2:$I$1001,,0)</f>
        <v>No</v>
      </c>
    </row>
    <row r="726" spans="1:16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>
        <f>_xlfn.XLOOKUP(C726,customers!$A$1:$A$1001,customers!$C$1:$C$1001,,0)</f>
        <v>0</v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>
        <f>INDEX(products!$A$1:$G$49,MATCH(orders!$D726,products!$A$1:$A$49,0),MATCH(orders!K$1,products!$A$1:$G$1,0))</f>
        <v>0.2</v>
      </c>
      <c r="L726">
        <f>INDEX(products!$A$1:$G$49,MATCH(orders!$D726,products!$A$1:$A$49,0),MATCH(orders!L$1,products!$A$1:$G$1,0))</f>
        <v>3.375</v>
      </c>
      <c r="M726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_xlfn.XLOOKUP(C726,customers!$A$2:$A$1001,customers!$I$2:$I$1001,,0)</f>
        <v>Yes</v>
      </c>
    </row>
    <row r="727" spans="1:16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_xlfn.XLOOKUP(C727,customers!$A$1:$A$1001,customers!$C$1:$C$1001,,0)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>
        <f>INDEX(products!$A$1:$G$49,MATCH(orders!$D727,products!$A$1:$A$49,0),MATCH(orders!K$1,products!$A$1:$G$1,0))</f>
        <v>0.2</v>
      </c>
      <c r="L727">
        <f>INDEX(products!$A$1:$G$49,MATCH(orders!$D727,products!$A$1:$A$49,0),MATCH(orders!L$1,products!$A$1:$G$1,0))</f>
        <v>3.8849999999999998</v>
      </c>
      <c r="M727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_xlfn.XLOOKUP(C727,customers!$A$2:$A$1001,customers!$I$2:$I$1001,,0)</f>
        <v>No</v>
      </c>
    </row>
    <row r="728" spans="1:16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>
        <f>_xlfn.XLOOKUP(C728,customers!$A$1:$A$1001,customers!$C$1:$C$1001,,0)</f>
        <v>0</v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>
        <f>INDEX(products!$A$1:$G$49,MATCH(orders!$D728,products!$A$1:$A$49,0),MATCH(orders!K$1,products!$A$1:$G$1,0))</f>
        <v>2.5</v>
      </c>
      <c r="L728">
        <f>INDEX(products!$A$1:$G$49,MATCH(orders!$D728,products!$A$1:$A$49,0),MATCH(orders!L$1,products!$A$1:$G$1,0))</f>
        <v>36.454999999999998</v>
      </c>
      <c r="M728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_xlfn.XLOOKUP(C728,customers!$A$2:$A$1001,customers!$I$2:$I$1001,,0)</f>
        <v>No</v>
      </c>
    </row>
    <row r="729" spans="1:16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_xlfn.XLOOKUP(C729,customers!$A$1:$A$1001,customers!$C$1:$C$1001,,0)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>
        <f>INDEX(products!$A$1:$G$49,MATCH(orders!$D729,products!$A$1:$A$49,0),MATCH(orders!K$1,products!$A$1:$G$1,0))</f>
        <v>0.5</v>
      </c>
      <c r="L729">
        <f>INDEX(products!$A$1:$G$49,MATCH(orders!$D729,products!$A$1:$A$49,0),MATCH(orders!L$1,products!$A$1:$G$1,0))</f>
        <v>5.97</v>
      </c>
      <c r="M729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_xlfn.XLOOKUP(C729,customers!$A$2:$A$1001,customers!$I$2:$I$1001,,0)</f>
        <v>Yes</v>
      </c>
    </row>
    <row r="730" spans="1:16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_xlfn.XLOOKUP(C730,customers!$A$1:$A$1001,customers!$C$1:$C$1001,,0)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>
        <f>INDEX(products!$A$1:$G$49,MATCH(orders!$D730,products!$A$1:$A$49,0),MATCH(orders!K$1,products!$A$1:$G$1,0))</f>
        <v>0.5</v>
      </c>
      <c r="L730">
        <f>INDEX(products!$A$1:$G$49,MATCH(orders!$D730,products!$A$1:$A$49,0),MATCH(orders!L$1,products!$A$1:$G$1,0))</f>
        <v>7.29</v>
      </c>
      <c r="M730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_xlfn.XLOOKUP(C730,customers!$A$2:$A$1001,customers!$I$2:$I$1001,,0)</f>
        <v>Yes</v>
      </c>
    </row>
    <row r="731" spans="1:16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_xlfn.XLOOKUP(C731,customers!$A$1:$A$1001,customers!$C$1:$C$1001,,0)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>
        <f>INDEX(products!$A$1:$G$49,MATCH(orders!$D731,products!$A$1:$A$49,0),MATCH(orders!K$1,products!$A$1:$G$1,0))</f>
        <v>0.2</v>
      </c>
      <c r="L731">
        <f>INDEX(products!$A$1:$G$49,MATCH(orders!$D731,products!$A$1:$A$49,0),MATCH(orders!L$1,products!$A$1:$G$1,0))</f>
        <v>4.3650000000000002</v>
      </c>
      <c r="M731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_xlfn.XLOOKUP(C731,customers!$A$2:$A$1001,customers!$I$2:$I$1001,,0)</f>
        <v>No</v>
      </c>
    </row>
    <row r="732" spans="1:16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_xlfn.XLOOKUP(C732,customers!$A$1:$A$1001,customers!$C$1:$C$1001,,0)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>
        <f>INDEX(products!$A$1:$G$49,MATCH(orders!$D732,products!$A$1:$A$49,0),MATCH(orders!K$1,products!$A$1:$G$1,0))</f>
        <v>2.5</v>
      </c>
      <c r="L732">
        <f>INDEX(products!$A$1:$G$49,MATCH(orders!$D732,products!$A$1:$A$49,0),MATCH(orders!L$1,products!$A$1:$G$1,0))</f>
        <v>36.454999999999998</v>
      </c>
      <c r="M732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_xlfn.XLOOKUP(C732,customers!$A$2:$A$1001,customers!$I$2:$I$1001,,0)</f>
        <v>No</v>
      </c>
    </row>
    <row r="733" spans="1:16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>
        <f>_xlfn.XLOOKUP(C733,customers!$A$1:$A$1001,customers!$C$1:$C$1001,,0)</f>
        <v>0</v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>
        <f>INDEX(products!$A$1:$G$49,MATCH(orders!$D733,products!$A$1:$A$49,0),MATCH(orders!K$1,products!$A$1:$G$1,0))</f>
        <v>0.2</v>
      </c>
      <c r="L733">
        <f>INDEX(products!$A$1:$G$49,MATCH(orders!$D733,products!$A$1:$A$49,0),MATCH(orders!L$1,products!$A$1:$G$1,0))</f>
        <v>3.8849999999999998</v>
      </c>
      <c r="M733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_xlfn.XLOOKUP(C733,customers!$A$2:$A$1001,customers!$I$2:$I$1001,,0)</f>
        <v>Yes</v>
      </c>
    </row>
    <row r="734" spans="1:16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_xlfn.XLOOKUP(C734,customers!$A$1:$A$1001,customers!$C$1:$C$1001,,0)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>
        <f>INDEX(products!$A$1:$G$49,MATCH(orders!$D734,products!$A$1:$A$49,0),MATCH(orders!K$1,products!$A$1:$G$1,0))</f>
        <v>0.2</v>
      </c>
      <c r="L734">
        <f>INDEX(products!$A$1:$G$49,MATCH(orders!$D734,products!$A$1:$A$49,0),MATCH(orders!L$1,products!$A$1:$G$1,0))</f>
        <v>4.4550000000000001</v>
      </c>
      <c r="M734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_xlfn.XLOOKUP(C734,customers!$A$2:$A$1001,customers!$I$2:$I$1001,,0)</f>
        <v>No</v>
      </c>
    </row>
    <row r="735" spans="1:16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_xlfn.XLOOKUP(C735,customers!$A$1:$A$1001,customers!$C$1:$C$1001,,0)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>
        <f>INDEX(products!$A$1:$G$49,MATCH(orders!$D735,products!$A$1:$A$49,0),MATCH(orders!K$1,products!$A$1:$G$1,0))</f>
        <v>2.5</v>
      </c>
      <c r="L735">
        <f>INDEX(products!$A$1:$G$49,MATCH(orders!$D735,products!$A$1:$A$49,0),MATCH(orders!L$1,products!$A$1:$G$1,0))</f>
        <v>33.464999999999996</v>
      </c>
      <c r="M73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_xlfn.XLOOKUP(C735,customers!$A$2:$A$1001,customers!$I$2:$I$1001,,0)</f>
        <v>Yes</v>
      </c>
    </row>
    <row r="736" spans="1:16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>
        <f>_xlfn.XLOOKUP(C736,customers!$A$1:$A$1001,customers!$C$1:$C$1001,,0)</f>
        <v>0</v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>
        <f>INDEX(products!$A$1:$G$49,MATCH(orders!$D736,products!$A$1:$A$49,0),MATCH(orders!K$1,products!$A$1:$G$1,0))</f>
        <v>0.2</v>
      </c>
      <c r="L736">
        <f>INDEX(products!$A$1:$G$49,MATCH(orders!$D736,products!$A$1:$A$49,0),MATCH(orders!L$1,products!$A$1:$G$1,0))</f>
        <v>2.6849999999999996</v>
      </c>
      <c r="M736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_xlfn.XLOOKUP(C736,customers!$A$2:$A$1001,customers!$I$2:$I$1001,,0)</f>
        <v>No</v>
      </c>
    </row>
    <row r="737" spans="1:16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_xlfn.XLOOKUP(C737,customers!$A$1:$A$1001,customers!$C$1:$C$1001,,0)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>
        <f>INDEX(products!$A$1:$G$49,MATCH(orders!$D737,products!$A$1:$A$49,0),MATCH(orders!K$1,products!$A$1:$G$1,0))</f>
        <v>0.2</v>
      </c>
      <c r="L737">
        <f>INDEX(products!$A$1:$G$49,MATCH(orders!$D737,products!$A$1:$A$49,0),MATCH(orders!L$1,products!$A$1:$G$1,0))</f>
        <v>3.645</v>
      </c>
      <c r="M737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_xlfn.XLOOKUP(C737,customers!$A$2:$A$1001,customers!$I$2:$I$1001,,0)</f>
        <v>No</v>
      </c>
    </row>
    <row r="738" spans="1:16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_xlfn.XLOOKUP(C738,customers!$A$1:$A$1001,customers!$C$1:$C$1001,,0)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>
        <f>INDEX(products!$A$1:$G$49,MATCH(orders!$D738,products!$A$1:$A$49,0),MATCH(orders!K$1,products!$A$1:$G$1,0))</f>
        <v>1</v>
      </c>
      <c r="L738">
        <f>INDEX(products!$A$1:$G$49,MATCH(orders!$D738,products!$A$1:$A$49,0),MATCH(orders!L$1,products!$A$1:$G$1,0))</f>
        <v>12.95</v>
      </c>
      <c r="M738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_xlfn.XLOOKUP(C738,customers!$A$2:$A$1001,customers!$I$2:$I$1001,,0)</f>
        <v>Yes</v>
      </c>
    </row>
    <row r="739" spans="1:16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_xlfn.XLOOKUP(C739,customers!$A$1:$A$1001,customers!$C$1:$C$1001,,0)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>
        <f>INDEX(products!$A$1:$G$49,MATCH(orders!$D739,products!$A$1:$A$49,0),MATCH(orders!K$1,products!$A$1:$G$1,0))</f>
        <v>1</v>
      </c>
      <c r="L739">
        <f>INDEX(products!$A$1:$G$49,MATCH(orders!$D739,products!$A$1:$A$49,0),MATCH(orders!L$1,products!$A$1:$G$1,0))</f>
        <v>11.25</v>
      </c>
      <c r="M739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_xlfn.XLOOKUP(C739,customers!$A$2:$A$1001,customers!$I$2:$I$1001,,0)</f>
        <v>No</v>
      </c>
    </row>
    <row r="740" spans="1:16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_xlfn.XLOOKUP(C740,customers!$A$1:$A$1001,customers!$C$1:$C$1001,,0)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>
        <f>INDEX(products!$A$1:$G$49,MATCH(orders!$D740,products!$A$1:$A$49,0),MATCH(orders!K$1,products!$A$1:$G$1,0))</f>
        <v>0.2</v>
      </c>
      <c r="L740">
        <f>INDEX(products!$A$1:$G$49,MATCH(orders!$D740,products!$A$1:$A$49,0),MATCH(orders!L$1,products!$A$1:$G$1,0))</f>
        <v>3.5849999999999995</v>
      </c>
      <c r="M740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_xlfn.XLOOKUP(C740,customers!$A$2:$A$1001,customers!$I$2:$I$1001,,0)</f>
        <v>No</v>
      </c>
    </row>
    <row r="741" spans="1:16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_xlfn.XLOOKUP(C741,customers!$A$1:$A$1001,customers!$C$1:$C$1001,,0)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>
        <f>INDEX(products!$A$1:$G$49,MATCH(orders!$D741,products!$A$1:$A$49,0),MATCH(orders!K$1,products!$A$1:$G$1,0))</f>
        <v>0.2</v>
      </c>
      <c r="L741">
        <f>INDEX(products!$A$1:$G$49,MATCH(orders!$D741,products!$A$1:$A$49,0),MATCH(orders!L$1,products!$A$1:$G$1,0))</f>
        <v>3.645</v>
      </c>
      <c r="M741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_xlfn.XLOOKUP(C741,customers!$A$2:$A$1001,customers!$I$2:$I$1001,,0)</f>
        <v>No</v>
      </c>
    </row>
    <row r="742" spans="1:16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_xlfn.XLOOKUP(C742,customers!$A$1:$A$1001,customers!$C$1:$C$1001,,0)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>
        <f>INDEX(products!$A$1:$G$49,MATCH(orders!$D742,products!$A$1:$A$49,0),MATCH(orders!K$1,products!$A$1:$G$1,0))</f>
        <v>0.5</v>
      </c>
      <c r="L742">
        <f>INDEX(products!$A$1:$G$49,MATCH(orders!$D742,products!$A$1:$A$49,0),MATCH(orders!L$1,products!$A$1:$G$1,0))</f>
        <v>7.169999999999999</v>
      </c>
      <c r="M742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_xlfn.XLOOKUP(C742,customers!$A$2:$A$1001,customers!$I$2:$I$1001,,0)</f>
        <v>No</v>
      </c>
    </row>
    <row r="743" spans="1:16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_xlfn.XLOOKUP(C743,customers!$A$1:$A$1001,customers!$C$1:$C$1001,,0)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>
        <f>INDEX(products!$A$1:$G$49,MATCH(orders!$D743,products!$A$1:$A$49,0),MATCH(orders!K$1,products!$A$1:$G$1,0))</f>
        <v>0.2</v>
      </c>
      <c r="L743">
        <f>INDEX(products!$A$1:$G$49,MATCH(orders!$D743,products!$A$1:$A$49,0),MATCH(orders!L$1,products!$A$1:$G$1,0))</f>
        <v>4.3650000000000002</v>
      </c>
      <c r="M743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_xlfn.XLOOKUP(C743,customers!$A$2:$A$1001,customers!$I$2:$I$1001,,0)</f>
        <v>No</v>
      </c>
    </row>
    <row r="744" spans="1:16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_xlfn.XLOOKUP(C744,customers!$A$1:$A$1001,customers!$C$1:$C$1001,,0)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>
        <f>INDEX(products!$A$1:$G$49,MATCH(orders!$D744,products!$A$1:$A$49,0),MATCH(orders!K$1,products!$A$1:$G$1,0))</f>
        <v>1</v>
      </c>
      <c r="L744">
        <f>INDEX(products!$A$1:$G$49,MATCH(orders!$D744,products!$A$1:$A$49,0),MATCH(orders!L$1,products!$A$1:$G$1,0))</f>
        <v>14.55</v>
      </c>
      <c r="M744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_xlfn.XLOOKUP(C744,customers!$A$2:$A$1001,customers!$I$2:$I$1001,,0)</f>
        <v>No</v>
      </c>
    </row>
    <row r="745" spans="1:16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_xlfn.XLOOKUP(C745,customers!$A$1:$A$1001,customers!$C$1:$C$1001,,0)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>
        <f>INDEX(products!$A$1:$G$49,MATCH(orders!$D745,products!$A$1:$A$49,0),MATCH(orders!K$1,products!$A$1:$G$1,0))</f>
        <v>0.5</v>
      </c>
      <c r="L745">
        <f>INDEX(products!$A$1:$G$49,MATCH(orders!$D745,products!$A$1:$A$49,0),MATCH(orders!L$1,products!$A$1:$G$1,0))</f>
        <v>5.97</v>
      </c>
      <c r="M74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_xlfn.XLOOKUP(C745,customers!$A$2:$A$1001,customers!$I$2:$I$1001,,0)</f>
        <v>No</v>
      </c>
    </row>
    <row r="746" spans="1:16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>
        <f>_xlfn.XLOOKUP(C746,customers!$A$1:$A$1001,customers!$C$1:$C$1001,,0)</f>
        <v>0</v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>
        <f>INDEX(products!$A$1:$G$49,MATCH(orders!$D746,products!$A$1:$A$49,0),MATCH(orders!K$1,products!$A$1:$G$1,0))</f>
        <v>0.2</v>
      </c>
      <c r="L746">
        <f>INDEX(products!$A$1:$G$49,MATCH(orders!$D746,products!$A$1:$A$49,0),MATCH(orders!L$1,products!$A$1:$G$1,0))</f>
        <v>2.9849999999999999</v>
      </c>
      <c r="M746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_xlfn.XLOOKUP(C746,customers!$A$2:$A$1001,customers!$I$2:$I$1001,,0)</f>
        <v>Yes</v>
      </c>
    </row>
    <row r="747" spans="1:16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_xlfn.XLOOKUP(C747,customers!$A$1:$A$1001,customers!$C$1:$C$1001,,0)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>
        <f>INDEX(products!$A$1:$G$49,MATCH(orders!$D747,products!$A$1:$A$49,0),MATCH(orders!K$1,products!$A$1:$G$1,0))</f>
        <v>0.5</v>
      </c>
      <c r="L747">
        <f>INDEX(products!$A$1:$G$49,MATCH(orders!$D747,products!$A$1:$A$49,0),MATCH(orders!L$1,products!$A$1:$G$1,0))</f>
        <v>7.29</v>
      </c>
      <c r="M747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_xlfn.XLOOKUP(C747,customers!$A$2:$A$1001,customers!$I$2:$I$1001,,0)</f>
        <v>No</v>
      </c>
    </row>
    <row r="748" spans="1:16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_xlfn.XLOOKUP(C748,customers!$A$1:$A$1001,customers!$C$1:$C$1001,,0)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>
        <f>INDEX(products!$A$1:$G$49,MATCH(orders!$D748,products!$A$1:$A$49,0),MATCH(orders!K$1,products!$A$1:$G$1,0))</f>
        <v>1</v>
      </c>
      <c r="L748">
        <f>INDEX(products!$A$1:$G$49,MATCH(orders!$D748,products!$A$1:$A$49,0),MATCH(orders!L$1,products!$A$1:$G$1,0))</f>
        <v>11.25</v>
      </c>
      <c r="M748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_xlfn.XLOOKUP(C748,customers!$A$2:$A$1001,customers!$I$2:$I$1001,,0)</f>
        <v>No</v>
      </c>
    </row>
    <row r="749" spans="1:16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_xlfn.XLOOKUP(C749,customers!$A$1:$A$1001,customers!$C$1:$C$1001,,0)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>
        <f>INDEX(products!$A$1:$G$49,MATCH(orders!$D749,products!$A$1:$A$49,0),MATCH(orders!K$1,products!$A$1:$G$1,0))</f>
        <v>0.5</v>
      </c>
      <c r="L749">
        <f>INDEX(products!$A$1:$G$49,MATCH(orders!$D749,products!$A$1:$A$49,0),MATCH(orders!L$1,products!$A$1:$G$1,0))</f>
        <v>8.73</v>
      </c>
      <c r="M749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_xlfn.XLOOKUP(C749,customers!$A$2:$A$1001,customers!$I$2:$I$1001,,0)</f>
        <v>Yes</v>
      </c>
    </row>
    <row r="750" spans="1:16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_xlfn.XLOOKUP(C750,customers!$A$1:$A$1001,customers!$C$1:$C$1001,,0)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>
        <f>INDEX(products!$A$1:$G$49,MATCH(orders!$D750,products!$A$1:$A$49,0),MATCH(orders!K$1,products!$A$1:$G$1,0))</f>
        <v>0.5</v>
      </c>
      <c r="L750">
        <f>INDEX(products!$A$1:$G$49,MATCH(orders!$D750,products!$A$1:$A$49,0),MATCH(orders!L$1,products!$A$1:$G$1,0))</f>
        <v>7.29</v>
      </c>
      <c r="M750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_xlfn.XLOOKUP(C750,customers!$A$2:$A$1001,customers!$I$2:$I$1001,,0)</f>
        <v>No</v>
      </c>
    </row>
    <row r="751" spans="1:16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_xlfn.XLOOKUP(C751,customers!$A$1:$A$1001,customers!$C$1:$C$1001,,0)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>
        <f>INDEX(products!$A$1:$G$49,MATCH(orders!$D751,products!$A$1:$A$49,0),MATCH(orders!K$1,products!$A$1:$G$1,0))</f>
        <v>0.2</v>
      </c>
      <c r="L751">
        <f>INDEX(products!$A$1:$G$49,MATCH(orders!$D751,products!$A$1:$A$49,0),MATCH(orders!L$1,products!$A$1:$G$1,0))</f>
        <v>2.6849999999999996</v>
      </c>
      <c r="M751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_xlfn.XLOOKUP(C751,customers!$A$2:$A$1001,customers!$I$2:$I$1001,,0)</f>
        <v>Yes</v>
      </c>
    </row>
    <row r="752" spans="1:16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>
        <f>_xlfn.XLOOKUP(C752,customers!$A$1:$A$1001,customers!$C$1:$C$1001,,0)</f>
        <v>0</v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>
        <f>INDEX(products!$A$1:$G$49,MATCH(orders!$D752,products!$A$1:$A$49,0),MATCH(orders!K$1,products!$A$1:$G$1,0))</f>
        <v>0.5</v>
      </c>
      <c r="L752">
        <f>INDEX(products!$A$1:$G$49,MATCH(orders!$D752,products!$A$1:$A$49,0),MATCH(orders!L$1,products!$A$1:$G$1,0))</f>
        <v>5.97</v>
      </c>
      <c r="M752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_xlfn.XLOOKUP(C752,customers!$A$2:$A$1001,customers!$I$2:$I$1001,,0)</f>
        <v>Yes</v>
      </c>
    </row>
    <row r="753" spans="1:16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_xlfn.XLOOKUP(C753,customers!$A$1:$A$1001,customers!$C$1:$C$1001,,0)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>
        <f>INDEX(products!$A$1:$G$49,MATCH(orders!$D753,products!$A$1:$A$49,0),MATCH(orders!K$1,products!$A$1:$G$1,0))</f>
        <v>0.5</v>
      </c>
      <c r="L753">
        <f>INDEX(products!$A$1:$G$49,MATCH(orders!$D753,products!$A$1:$A$49,0),MATCH(orders!L$1,products!$A$1:$G$1,0))</f>
        <v>9.51</v>
      </c>
      <c r="M753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_xlfn.XLOOKUP(C753,customers!$A$2:$A$1001,customers!$I$2:$I$1001,,0)</f>
        <v>No</v>
      </c>
    </row>
    <row r="754" spans="1:16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_xlfn.XLOOKUP(C754,customers!$A$1:$A$1001,customers!$C$1:$C$1001,,0)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>
        <f>INDEX(products!$A$1:$G$49,MATCH(orders!$D754,products!$A$1:$A$49,0),MATCH(orders!K$1,products!$A$1:$G$1,0))</f>
        <v>1</v>
      </c>
      <c r="L754">
        <f>INDEX(products!$A$1:$G$49,MATCH(orders!$D754,products!$A$1:$A$49,0),MATCH(orders!L$1,products!$A$1:$G$1,0))</f>
        <v>13.75</v>
      </c>
      <c r="M754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_xlfn.XLOOKUP(C754,customers!$A$2:$A$1001,customers!$I$2:$I$1001,,0)</f>
        <v>Yes</v>
      </c>
    </row>
    <row r="755" spans="1:16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_xlfn.XLOOKUP(C755,customers!$A$1:$A$1001,customers!$C$1:$C$1001,,0)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>
        <f>INDEX(products!$A$1:$G$49,MATCH(orders!$D755,products!$A$1:$A$49,0),MATCH(orders!K$1,products!$A$1:$G$1,0))</f>
        <v>0.5</v>
      </c>
      <c r="L755">
        <f>INDEX(products!$A$1:$G$49,MATCH(orders!$D755,products!$A$1:$A$49,0),MATCH(orders!L$1,products!$A$1:$G$1,0))</f>
        <v>5.97</v>
      </c>
      <c r="M75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_xlfn.XLOOKUP(C755,customers!$A$2:$A$1001,customers!$I$2:$I$1001,,0)</f>
        <v>No</v>
      </c>
    </row>
    <row r="756" spans="1:16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_xlfn.XLOOKUP(C756,customers!$A$1:$A$1001,customers!$C$1:$C$1001,,0)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>
        <f>INDEX(products!$A$1:$G$49,MATCH(orders!$D756,products!$A$1:$A$49,0),MATCH(orders!K$1,products!$A$1:$G$1,0))</f>
        <v>0.2</v>
      </c>
      <c r="L756">
        <f>INDEX(products!$A$1:$G$49,MATCH(orders!$D756,products!$A$1:$A$49,0),MATCH(orders!L$1,products!$A$1:$G$1,0))</f>
        <v>2.9849999999999999</v>
      </c>
      <c r="M756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_xlfn.XLOOKUP(C756,customers!$A$2:$A$1001,customers!$I$2:$I$1001,,0)</f>
        <v>No</v>
      </c>
    </row>
    <row r="757" spans="1:16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_xlfn.XLOOKUP(C757,customers!$A$1:$A$1001,customers!$C$1:$C$1001,,0)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>
        <f>INDEX(products!$A$1:$G$49,MATCH(orders!$D757,products!$A$1:$A$49,0),MATCH(orders!K$1,products!$A$1:$G$1,0))</f>
        <v>0.2</v>
      </c>
      <c r="L757">
        <f>INDEX(products!$A$1:$G$49,MATCH(orders!$D757,products!$A$1:$A$49,0),MATCH(orders!L$1,products!$A$1:$G$1,0))</f>
        <v>4.7549999999999999</v>
      </c>
      <c r="M757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_xlfn.XLOOKUP(C757,customers!$A$2:$A$1001,customers!$I$2:$I$1001,,0)</f>
        <v>No</v>
      </c>
    </row>
    <row r="758" spans="1:16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_xlfn.XLOOKUP(C758,customers!$A$1:$A$1001,customers!$C$1:$C$1001,,0)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>
        <f>INDEX(products!$A$1:$G$49,MATCH(orders!$D758,products!$A$1:$A$49,0),MATCH(orders!K$1,products!$A$1:$G$1,0))</f>
        <v>1</v>
      </c>
      <c r="L758">
        <f>INDEX(products!$A$1:$G$49,MATCH(orders!$D758,products!$A$1:$A$49,0),MATCH(orders!L$1,products!$A$1:$G$1,0))</f>
        <v>8.9499999999999993</v>
      </c>
      <c r="M758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_xlfn.XLOOKUP(C758,customers!$A$2:$A$1001,customers!$I$2:$I$1001,,0)</f>
        <v>Yes</v>
      </c>
    </row>
    <row r="759" spans="1:16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_xlfn.XLOOKUP(C759,customers!$A$1:$A$1001,customers!$C$1:$C$1001,,0)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>
        <f>INDEX(products!$A$1:$G$49,MATCH(orders!$D759,products!$A$1:$A$49,0),MATCH(orders!K$1,products!$A$1:$G$1,0))</f>
        <v>0.5</v>
      </c>
      <c r="L759">
        <f>INDEX(products!$A$1:$G$49,MATCH(orders!$D759,products!$A$1:$A$49,0),MATCH(orders!L$1,products!$A$1:$G$1,0))</f>
        <v>5.97</v>
      </c>
      <c r="M759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_xlfn.XLOOKUP(C759,customers!$A$2:$A$1001,customers!$I$2:$I$1001,,0)</f>
        <v>Yes</v>
      </c>
    </row>
    <row r="760" spans="1:16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_xlfn.XLOOKUP(C760,customers!$A$1:$A$1001,customers!$C$1:$C$1001,,0)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>
        <f>INDEX(products!$A$1:$G$49,MATCH(orders!$D760,products!$A$1:$A$49,0),MATCH(orders!K$1,products!$A$1:$G$1,0))</f>
        <v>1</v>
      </c>
      <c r="L760">
        <f>INDEX(products!$A$1:$G$49,MATCH(orders!$D760,products!$A$1:$A$49,0),MATCH(orders!L$1,products!$A$1:$G$1,0))</f>
        <v>8.9499999999999993</v>
      </c>
      <c r="M760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_xlfn.XLOOKUP(C760,customers!$A$2:$A$1001,customers!$I$2:$I$1001,,0)</f>
        <v>No</v>
      </c>
    </row>
    <row r="761" spans="1:16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_xlfn.XLOOKUP(C761,customers!$A$1:$A$1001,customers!$C$1:$C$1001,,0)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>
        <f>INDEX(products!$A$1:$G$49,MATCH(orders!$D761,products!$A$1:$A$49,0),MATCH(orders!K$1,products!$A$1:$G$1,0))</f>
        <v>2.5</v>
      </c>
      <c r="L761">
        <f>INDEX(products!$A$1:$G$49,MATCH(orders!$D761,products!$A$1:$A$49,0),MATCH(orders!L$1,products!$A$1:$G$1,0))</f>
        <v>29.784999999999997</v>
      </c>
      <c r="M761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_xlfn.XLOOKUP(C761,customers!$A$2:$A$1001,customers!$I$2:$I$1001,,0)</f>
        <v>Yes</v>
      </c>
    </row>
    <row r="762" spans="1:16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_xlfn.XLOOKUP(C762,customers!$A$1:$A$1001,customers!$C$1:$C$1001,,0)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>
        <f>INDEX(products!$A$1:$G$49,MATCH(orders!$D762,products!$A$1:$A$49,0),MATCH(orders!K$1,products!$A$1:$G$1,0))</f>
        <v>0.5</v>
      </c>
      <c r="L762">
        <f>INDEX(products!$A$1:$G$49,MATCH(orders!$D762,products!$A$1:$A$49,0),MATCH(orders!L$1,products!$A$1:$G$1,0))</f>
        <v>8.91</v>
      </c>
      <c r="M762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_xlfn.XLOOKUP(C762,customers!$A$2:$A$1001,customers!$I$2:$I$1001,,0)</f>
        <v>No</v>
      </c>
    </row>
    <row r="763" spans="1:16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_xlfn.XLOOKUP(C763,customers!$A$1:$A$1001,customers!$C$1:$C$1001,,0)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>
        <f>INDEX(products!$A$1:$G$49,MATCH(orders!$D763,products!$A$1:$A$49,0),MATCH(orders!K$1,products!$A$1:$G$1,0))</f>
        <v>1</v>
      </c>
      <c r="L763">
        <f>INDEX(products!$A$1:$G$49,MATCH(orders!$D763,products!$A$1:$A$49,0),MATCH(orders!L$1,products!$A$1:$G$1,0))</f>
        <v>14.85</v>
      </c>
      <c r="M763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_xlfn.XLOOKUP(C763,customers!$A$2:$A$1001,customers!$I$2:$I$1001,,0)</f>
        <v>Yes</v>
      </c>
    </row>
    <row r="764" spans="1:16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_xlfn.XLOOKUP(C764,customers!$A$1:$A$1001,customers!$C$1:$C$1001,,0)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>
        <f>INDEX(products!$A$1:$G$49,MATCH(orders!$D764,products!$A$1:$A$49,0),MATCH(orders!K$1,products!$A$1:$G$1,0))</f>
        <v>0.5</v>
      </c>
      <c r="L764">
        <f>INDEX(products!$A$1:$G$49,MATCH(orders!$D764,products!$A$1:$A$49,0),MATCH(orders!L$1,products!$A$1:$G$1,0))</f>
        <v>8.73</v>
      </c>
      <c r="M764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_xlfn.XLOOKUP(C764,customers!$A$2:$A$1001,customers!$I$2:$I$1001,,0)</f>
        <v>No</v>
      </c>
    </row>
    <row r="765" spans="1:16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>
        <f>_xlfn.XLOOKUP(C765,customers!$A$1:$A$1001,customers!$C$1:$C$1001,,0)</f>
        <v>0</v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>
        <f>INDEX(products!$A$1:$G$49,MATCH(orders!$D765,products!$A$1:$A$49,0),MATCH(orders!K$1,products!$A$1:$G$1,0))</f>
        <v>0.5</v>
      </c>
      <c r="L765">
        <f>INDEX(products!$A$1:$G$49,MATCH(orders!$D765,products!$A$1:$A$49,0),MATCH(orders!L$1,products!$A$1:$G$1,0))</f>
        <v>7.77</v>
      </c>
      <c r="M76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_xlfn.XLOOKUP(C765,customers!$A$2:$A$1001,customers!$I$2:$I$1001,,0)</f>
        <v>No</v>
      </c>
    </row>
    <row r="766" spans="1:16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_xlfn.XLOOKUP(C766,customers!$A$1:$A$1001,customers!$C$1:$C$1001,,0)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>
        <f>INDEX(products!$A$1:$G$49,MATCH(orders!$D766,products!$A$1:$A$49,0),MATCH(orders!K$1,products!$A$1:$G$1,0))</f>
        <v>2.5</v>
      </c>
      <c r="L766">
        <f>INDEX(products!$A$1:$G$49,MATCH(orders!$D766,products!$A$1:$A$49,0),MATCH(orders!L$1,products!$A$1:$G$1,0))</f>
        <v>29.784999999999997</v>
      </c>
      <c r="M766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_xlfn.XLOOKUP(C766,customers!$A$2:$A$1001,customers!$I$2:$I$1001,,0)</f>
        <v>Yes</v>
      </c>
    </row>
    <row r="767" spans="1:16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_xlfn.XLOOKUP(C767,customers!$A$1:$A$1001,customers!$C$1:$C$1001,,0)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>
        <f>INDEX(products!$A$1:$G$49,MATCH(orders!$D767,products!$A$1:$A$49,0),MATCH(orders!K$1,products!$A$1:$G$1,0))</f>
        <v>1</v>
      </c>
      <c r="L767">
        <f>INDEX(products!$A$1:$G$49,MATCH(orders!$D767,products!$A$1:$A$49,0),MATCH(orders!L$1,products!$A$1:$G$1,0))</f>
        <v>9.9499999999999993</v>
      </c>
      <c r="M767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_xlfn.XLOOKUP(C767,customers!$A$2:$A$1001,customers!$I$2:$I$1001,,0)</f>
        <v>Yes</v>
      </c>
    </row>
    <row r="768" spans="1:16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_xlfn.XLOOKUP(C768,customers!$A$1:$A$1001,customers!$C$1:$C$1001,,0)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>
        <f>INDEX(products!$A$1:$G$49,MATCH(orders!$D768,products!$A$1:$A$49,0),MATCH(orders!K$1,products!$A$1:$G$1,0))</f>
        <v>0.5</v>
      </c>
      <c r="L768">
        <f>INDEX(products!$A$1:$G$49,MATCH(orders!$D768,products!$A$1:$A$49,0),MATCH(orders!L$1,products!$A$1:$G$1,0))</f>
        <v>7.77</v>
      </c>
      <c r="M768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_xlfn.XLOOKUP(C768,customers!$A$2:$A$1001,customers!$I$2:$I$1001,,0)</f>
        <v>Yes</v>
      </c>
    </row>
    <row r="769" spans="1:16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_xlfn.XLOOKUP(C769,customers!$A$1:$A$1001,customers!$C$1:$C$1001,,0)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>
        <f>INDEX(products!$A$1:$G$49,MATCH(orders!$D769,products!$A$1:$A$49,0),MATCH(orders!K$1,products!$A$1:$G$1,0))</f>
        <v>2.5</v>
      </c>
      <c r="L769">
        <f>INDEX(products!$A$1:$G$49,MATCH(orders!$D769,products!$A$1:$A$49,0),MATCH(orders!L$1,products!$A$1:$G$1,0))</f>
        <v>29.784999999999997</v>
      </c>
      <c r="M769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_xlfn.XLOOKUP(C769,customers!$A$2:$A$1001,customers!$I$2:$I$1001,,0)</f>
        <v>No</v>
      </c>
    </row>
    <row r="770" spans="1:16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_xlfn.XLOOKUP(C770,customers!$A$1:$A$1001,customers!$C$1:$C$1001,,0)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>
        <f>INDEX(products!$A$1:$G$49,MATCH(orders!$D770,products!$A$1:$A$49,0),MATCH(orders!K$1,products!$A$1:$G$1,0))</f>
        <v>1</v>
      </c>
      <c r="L770">
        <f>INDEX(products!$A$1:$G$49,MATCH(orders!$D770,products!$A$1:$A$49,0),MATCH(orders!L$1,products!$A$1:$G$1,0))</f>
        <v>11.95</v>
      </c>
      <c r="M770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_xlfn.XLOOKUP(C770,customers!$A$2:$A$1001,customers!$I$2:$I$1001,,0)</f>
        <v>No</v>
      </c>
    </row>
    <row r="771" spans="1:16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_xlfn.XLOOKUP(C771,customers!$A$1:$A$1001,customers!$C$1:$C$1001,,0)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>
        <f>INDEX(products!$A$1:$G$49,MATCH(orders!$D771,products!$A$1:$A$49,0),MATCH(orders!K$1,products!$A$1:$G$1,0))</f>
        <v>2.5</v>
      </c>
      <c r="L771">
        <f>INDEX(products!$A$1:$G$49,MATCH(orders!$D771,products!$A$1:$A$49,0),MATCH(orders!L$1,products!$A$1:$G$1,0))</f>
        <v>22.884999999999998</v>
      </c>
      <c r="M771">
        <f t="shared" ref="M771:M834" si="36">L771*E771</f>
        <v>137.31</v>
      </c>
      <c r="N771" t="str">
        <f t="shared" ref="N771:N834" si="37">IF(I771="Rob","Robusta",IF(I771="Exc","Excelsa",IF(I771="Lib","Liberica",IF(I771="Ara","Arabica"))))</f>
        <v>Robusta</v>
      </c>
      <c r="O771" t="str">
        <f t="shared" si="35"/>
        <v>Medium</v>
      </c>
      <c r="P771" t="str">
        <f>_xlfn.XLOOKUP(C771,customers!$A$2:$A$1001,customers!$I$2:$I$1001,,0)</f>
        <v>No</v>
      </c>
    </row>
    <row r="772" spans="1:16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_xlfn.XLOOKUP(C772,customers!$A$1:$A$1001,customers!$C$1:$C$1001,,0)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>
        <f>INDEX(products!$A$1:$G$49,MATCH(orders!$D772,products!$A$1:$A$49,0),MATCH(orders!K$1,products!$A$1:$G$1,0))</f>
        <v>1</v>
      </c>
      <c r="L772">
        <f>INDEX(products!$A$1:$G$49,MATCH(orders!$D772,products!$A$1:$A$49,0),MATCH(orders!L$1,products!$A$1:$G$1,0))</f>
        <v>9.9499999999999993</v>
      </c>
      <c r="M772">
        <f t="shared" si="36"/>
        <v>9.9499999999999993</v>
      </c>
      <c r="N772" t="str">
        <f t="shared" si="37"/>
        <v>Arabica</v>
      </c>
      <c r="O772" t="str">
        <f t="shared" si="35"/>
        <v>Dark</v>
      </c>
      <c r="P772" t="str">
        <f>_xlfn.XLOOKUP(C772,customers!$A$2:$A$1001,customers!$I$2:$I$1001,,0)</f>
        <v>No</v>
      </c>
    </row>
    <row r="773" spans="1:16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_xlfn.XLOOKUP(C773,customers!$A$1:$A$1001,customers!$C$1:$C$1001,,0)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>
        <f>INDEX(products!$A$1:$G$49,MATCH(orders!$D773,products!$A$1:$A$49,0),MATCH(orders!K$1,products!$A$1:$G$1,0))</f>
        <v>0.5</v>
      </c>
      <c r="L773">
        <f>INDEX(products!$A$1:$G$49,MATCH(orders!$D773,products!$A$1:$A$49,0),MATCH(orders!L$1,products!$A$1:$G$1,0))</f>
        <v>7.169999999999999</v>
      </c>
      <c r="M773">
        <f t="shared" si="36"/>
        <v>21.509999999999998</v>
      </c>
      <c r="N773" t="str">
        <f t="shared" si="37"/>
        <v>Robusta</v>
      </c>
      <c r="O773" t="str">
        <f t="shared" ref="O773:O836" si="38">IF(J773="L","Light",IF(J773="M","Medium",IF(J773="D","Dark")))</f>
        <v>Light</v>
      </c>
      <c r="P773" t="str">
        <f>_xlfn.XLOOKUP(C773,customers!$A$2:$A$1001,customers!$I$2:$I$1001,,0)</f>
        <v>No</v>
      </c>
    </row>
    <row r="774" spans="1:16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>
        <f>_xlfn.XLOOKUP(C774,customers!$A$1:$A$1001,customers!$C$1:$C$1001,,0)</f>
        <v>0</v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>
        <f>INDEX(products!$A$1:$G$49,MATCH(orders!$D774,products!$A$1:$A$49,0),MATCH(orders!K$1,products!$A$1:$G$1,0))</f>
        <v>1</v>
      </c>
      <c r="L774">
        <f>INDEX(products!$A$1:$G$49,MATCH(orders!$D774,products!$A$1:$A$49,0),MATCH(orders!L$1,products!$A$1:$G$1,0))</f>
        <v>13.75</v>
      </c>
      <c r="M774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_xlfn.XLOOKUP(C774,customers!$A$2:$A$1001,customers!$I$2:$I$1001,,0)</f>
        <v>No</v>
      </c>
    </row>
    <row r="775" spans="1:16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_xlfn.XLOOKUP(C775,customers!$A$1:$A$1001,customers!$C$1:$C$1001,,0)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>
        <f>INDEX(products!$A$1:$G$49,MATCH(orders!$D775,products!$A$1:$A$49,0),MATCH(orders!K$1,products!$A$1:$G$1,0))</f>
        <v>0.2</v>
      </c>
      <c r="L775">
        <f>INDEX(products!$A$1:$G$49,MATCH(orders!$D775,products!$A$1:$A$49,0),MATCH(orders!L$1,products!$A$1:$G$1,0))</f>
        <v>4.3650000000000002</v>
      </c>
      <c r="M77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_xlfn.XLOOKUP(C775,customers!$A$2:$A$1001,customers!$I$2:$I$1001,,0)</f>
        <v>No</v>
      </c>
    </row>
    <row r="776" spans="1:16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>
        <f>_xlfn.XLOOKUP(C776,customers!$A$1:$A$1001,customers!$C$1:$C$1001,,0)</f>
        <v>0</v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>
        <f>INDEX(products!$A$1:$G$49,MATCH(orders!$D776,products!$A$1:$A$49,0),MATCH(orders!K$1,products!$A$1:$G$1,0))</f>
        <v>1</v>
      </c>
      <c r="L776">
        <f>INDEX(products!$A$1:$G$49,MATCH(orders!$D776,products!$A$1:$A$49,0),MATCH(orders!L$1,products!$A$1:$G$1,0))</f>
        <v>9.9499999999999993</v>
      </c>
      <c r="M776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_xlfn.XLOOKUP(C776,customers!$A$2:$A$1001,customers!$I$2:$I$1001,,0)</f>
        <v>Yes</v>
      </c>
    </row>
    <row r="777" spans="1:16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_xlfn.XLOOKUP(C777,customers!$A$1:$A$1001,customers!$C$1:$C$1001,,0)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>
        <f>INDEX(products!$A$1:$G$49,MATCH(orders!$D777,products!$A$1:$A$49,0),MATCH(orders!K$1,products!$A$1:$G$1,0))</f>
        <v>0.5</v>
      </c>
      <c r="L777">
        <f>INDEX(products!$A$1:$G$49,MATCH(orders!$D777,products!$A$1:$A$49,0),MATCH(orders!L$1,products!$A$1:$G$1,0))</f>
        <v>8.91</v>
      </c>
      <c r="M777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_xlfn.XLOOKUP(C777,customers!$A$2:$A$1001,customers!$I$2:$I$1001,,0)</f>
        <v>Yes</v>
      </c>
    </row>
    <row r="778" spans="1:16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_xlfn.XLOOKUP(C778,customers!$A$1:$A$1001,customers!$C$1:$C$1001,,0)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>
        <f>INDEX(products!$A$1:$G$49,MATCH(orders!$D778,products!$A$1:$A$49,0),MATCH(orders!K$1,products!$A$1:$G$1,0))</f>
        <v>0.5</v>
      </c>
      <c r="L778">
        <f>INDEX(products!$A$1:$G$49,MATCH(orders!$D778,products!$A$1:$A$49,0),MATCH(orders!L$1,products!$A$1:$G$1,0))</f>
        <v>6.75</v>
      </c>
      <c r="M778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_xlfn.XLOOKUP(C778,customers!$A$2:$A$1001,customers!$I$2:$I$1001,,0)</f>
        <v>No</v>
      </c>
    </row>
    <row r="779" spans="1:16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_xlfn.XLOOKUP(C779,customers!$A$1:$A$1001,customers!$C$1:$C$1001,,0)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>
        <f>INDEX(products!$A$1:$G$49,MATCH(orders!$D779,products!$A$1:$A$49,0),MATCH(orders!K$1,products!$A$1:$G$1,0))</f>
        <v>2.5</v>
      </c>
      <c r="L779">
        <f>INDEX(products!$A$1:$G$49,MATCH(orders!$D779,products!$A$1:$A$49,0),MATCH(orders!L$1,products!$A$1:$G$1,0))</f>
        <v>29.784999999999997</v>
      </c>
      <c r="M779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_xlfn.XLOOKUP(C779,customers!$A$2:$A$1001,customers!$I$2:$I$1001,,0)</f>
        <v>No</v>
      </c>
    </row>
    <row r="780" spans="1:16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_xlfn.XLOOKUP(C780,customers!$A$1:$A$1001,customers!$C$1:$C$1001,,0)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>
        <f>INDEX(products!$A$1:$G$49,MATCH(orders!$D780,products!$A$1:$A$49,0),MATCH(orders!K$1,products!$A$1:$G$1,0))</f>
        <v>0.5</v>
      </c>
      <c r="L780">
        <f>INDEX(products!$A$1:$G$49,MATCH(orders!$D780,products!$A$1:$A$49,0),MATCH(orders!L$1,products!$A$1:$G$1,0))</f>
        <v>9.51</v>
      </c>
      <c r="M780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_xlfn.XLOOKUP(C780,customers!$A$2:$A$1001,customers!$I$2:$I$1001,,0)</f>
        <v>Yes</v>
      </c>
    </row>
    <row r="781" spans="1:16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_xlfn.XLOOKUP(C781,customers!$A$1:$A$1001,customers!$C$1:$C$1001,,0)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>
        <f>INDEX(products!$A$1:$G$49,MATCH(orders!$D781,products!$A$1:$A$49,0),MATCH(orders!K$1,products!$A$1:$G$1,0))</f>
        <v>1</v>
      </c>
      <c r="L781">
        <f>INDEX(products!$A$1:$G$49,MATCH(orders!$D781,products!$A$1:$A$49,0),MATCH(orders!L$1,products!$A$1:$G$1,0))</f>
        <v>12.95</v>
      </c>
      <c r="M781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_xlfn.XLOOKUP(C781,customers!$A$2:$A$1001,customers!$I$2:$I$1001,,0)</f>
        <v>Yes</v>
      </c>
    </row>
    <row r="782" spans="1:16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>
        <f>_xlfn.XLOOKUP(C782,customers!$A$1:$A$1001,customers!$C$1:$C$1001,,0)</f>
        <v>0</v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>
        <f>INDEX(products!$A$1:$G$49,MATCH(orders!$D782,products!$A$1:$A$49,0),MATCH(orders!K$1,products!$A$1:$G$1,0))</f>
        <v>1</v>
      </c>
      <c r="L782">
        <f>INDEX(products!$A$1:$G$49,MATCH(orders!$D782,products!$A$1:$A$49,0),MATCH(orders!L$1,products!$A$1:$G$1,0))</f>
        <v>13.75</v>
      </c>
      <c r="M782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_xlfn.XLOOKUP(C782,customers!$A$2:$A$1001,customers!$I$2:$I$1001,,0)</f>
        <v>No</v>
      </c>
    </row>
    <row r="783" spans="1:16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_xlfn.XLOOKUP(C783,customers!$A$1:$A$1001,customers!$C$1:$C$1001,,0)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>
        <f>INDEX(products!$A$1:$G$49,MATCH(orders!$D783,products!$A$1:$A$49,0),MATCH(orders!K$1,products!$A$1:$G$1,0))</f>
        <v>2.5</v>
      </c>
      <c r="L783">
        <f>INDEX(products!$A$1:$G$49,MATCH(orders!$D783,products!$A$1:$A$49,0),MATCH(orders!L$1,products!$A$1:$G$1,0))</f>
        <v>36.454999999999998</v>
      </c>
      <c r="M783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_xlfn.XLOOKUP(C783,customers!$A$2:$A$1001,customers!$I$2:$I$1001,,0)</f>
        <v>No</v>
      </c>
    </row>
    <row r="784" spans="1:16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_xlfn.XLOOKUP(C784,customers!$A$1:$A$1001,customers!$C$1:$C$1001,,0)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>
        <f>INDEX(products!$A$1:$G$49,MATCH(orders!$D784,products!$A$1:$A$49,0),MATCH(orders!K$1,products!$A$1:$G$1,0))</f>
        <v>0.2</v>
      </c>
      <c r="L784">
        <f>INDEX(products!$A$1:$G$49,MATCH(orders!$D784,products!$A$1:$A$49,0),MATCH(orders!L$1,products!$A$1:$G$1,0))</f>
        <v>4.4550000000000001</v>
      </c>
      <c r="M784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_xlfn.XLOOKUP(C784,customers!$A$2:$A$1001,customers!$I$2:$I$1001,,0)</f>
        <v>No</v>
      </c>
    </row>
    <row r="785" spans="1:16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_xlfn.XLOOKUP(C785,customers!$A$1:$A$1001,customers!$C$1:$C$1001,,0)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>
        <f>INDEX(products!$A$1:$G$49,MATCH(orders!$D785,products!$A$1:$A$49,0),MATCH(orders!K$1,products!$A$1:$G$1,0))</f>
        <v>0.5</v>
      </c>
      <c r="L785">
        <f>INDEX(products!$A$1:$G$49,MATCH(orders!$D785,products!$A$1:$A$49,0),MATCH(orders!L$1,products!$A$1:$G$1,0))</f>
        <v>8.73</v>
      </c>
      <c r="M78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_xlfn.XLOOKUP(C785,customers!$A$2:$A$1001,customers!$I$2:$I$1001,,0)</f>
        <v>Yes</v>
      </c>
    </row>
    <row r="786" spans="1:16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_xlfn.XLOOKUP(C786,customers!$A$1:$A$1001,customers!$C$1:$C$1001,,0)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>
        <f>INDEX(products!$A$1:$G$49,MATCH(orders!$D786,products!$A$1:$A$49,0),MATCH(orders!K$1,products!$A$1:$G$1,0))</f>
        <v>1</v>
      </c>
      <c r="L786">
        <f>INDEX(products!$A$1:$G$49,MATCH(orders!$D786,products!$A$1:$A$49,0),MATCH(orders!L$1,products!$A$1:$G$1,0))</f>
        <v>15.85</v>
      </c>
      <c r="M786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_xlfn.XLOOKUP(C786,customers!$A$2:$A$1001,customers!$I$2:$I$1001,,0)</f>
        <v>No</v>
      </c>
    </row>
    <row r="787" spans="1:16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_xlfn.XLOOKUP(C787,customers!$A$1:$A$1001,customers!$C$1:$C$1001,,0)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>
        <f>INDEX(products!$A$1:$G$49,MATCH(orders!$D787,products!$A$1:$A$49,0),MATCH(orders!K$1,products!$A$1:$G$1,0))</f>
        <v>2.5</v>
      </c>
      <c r="L787">
        <f>INDEX(products!$A$1:$G$49,MATCH(orders!$D787,products!$A$1:$A$49,0),MATCH(orders!L$1,products!$A$1:$G$1,0))</f>
        <v>22.884999999999998</v>
      </c>
      <c r="M787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_xlfn.XLOOKUP(C787,customers!$A$2:$A$1001,customers!$I$2:$I$1001,,0)</f>
        <v>No</v>
      </c>
    </row>
    <row r="788" spans="1:16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_xlfn.XLOOKUP(C788,customers!$A$1:$A$1001,customers!$C$1:$C$1001,,0)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>
        <f>INDEX(products!$A$1:$G$49,MATCH(orders!$D788,products!$A$1:$A$49,0),MATCH(orders!K$1,products!$A$1:$G$1,0))</f>
        <v>2.5</v>
      </c>
      <c r="L788">
        <f>INDEX(products!$A$1:$G$49,MATCH(orders!$D788,products!$A$1:$A$49,0),MATCH(orders!L$1,products!$A$1:$G$1,0))</f>
        <v>27.945</v>
      </c>
      <c r="M788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_xlfn.XLOOKUP(C788,customers!$A$2:$A$1001,customers!$I$2:$I$1001,,0)</f>
        <v>Yes</v>
      </c>
    </row>
    <row r="789" spans="1:16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>
        <f>_xlfn.XLOOKUP(C789,customers!$A$1:$A$1001,customers!$C$1:$C$1001,,0)</f>
        <v>0</v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>
        <f>INDEX(products!$A$1:$G$49,MATCH(orders!$D789,products!$A$1:$A$49,0),MATCH(orders!K$1,products!$A$1:$G$1,0))</f>
        <v>1</v>
      </c>
      <c r="L789">
        <f>INDEX(products!$A$1:$G$49,MATCH(orders!$D789,products!$A$1:$A$49,0),MATCH(orders!L$1,products!$A$1:$G$1,0))</f>
        <v>13.75</v>
      </c>
      <c r="M789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_xlfn.XLOOKUP(C789,customers!$A$2:$A$1001,customers!$I$2:$I$1001,,0)</f>
        <v>Yes</v>
      </c>
    </row>
    <row r="790" spans="1:16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_xlfn.XLOOKUP(C790,customers!$A$1:$A$1001,customers!$C$1:$C$1001,,0)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>
        <f>INDEX(products!$A$1:$G$49,MATCH(orders!$D790,products!$A$1:$A$49,0),MATCH(orders!K$1,products!$A$1:$G$1,0))</f>
        <v>2.5</v>
      </c>
      <c r="L790">
        <f>INDEX(products!$A$1:$G$49,MATCH(orders!$D790,products!$A$1:$A$49,0),MATCH(orders!L$1,products!$A$1:$G$1,0))</f>
        <v>22.884999999999998</v>
      </c>
      <c r="M790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_xlfn.XLOOKUP(C790,customers!$A$2:$A$1001,customers!$I$2:$I$1001,,0)</f>
        <v>Yes</v>
      </c>
    </row>
    <row r="791" spans="1:16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_xlfn.XLOOKUP(C791,customers!$A$1:$A$1001,customers!$C$1:$C$1001,,0)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>
        <f>INDEX(products!$A$1:$G$49,MATCH(orders!$D791,products!$A$1:$A$49,0),MATCH(orders!K$1,products!$A$1:$G$1,0))</f>
        <v>1</v>
      </c>
      <c r="L791">
        <f>INDEX(products!$A$1:$G$49,MATCH(orders!$D791,products!$A$1:$A$49,0),MATCH(orders!L$1,products!$A$1:$G$1,0))</f>
        <v>12.95</v>
      </c>
      <c r="M791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_xlfn.XLOOKUP(C791,customers!$A$2:$A$1001,customers!$I$2:$I$1001,,0)</f>
        <v>No</v>
      </c>
    </row>
    <row r="792" spans="1:16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_xlfn.XLOOKUP(C792,customers!$A$1:$A$1001,customers!$C$1:$C$1001,,0)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>
        <f>INDEX(products!$A$1:$G$49,MATCH(orders!$D792,products!$A$1:$A$49,0),MATCH(orders!K$1,products!$A$1:$G$1,0))</f>
        <v>0.5</v>
      </c>
      <c r="L792">
        <f>INDEX(products!$A$1:$G$49,MATCH(orders!$D792,products!$A$1:$A$49,0),MATCH(orders!L$1,products!$A$1:$G$1,0))</f>
        <v>7.77</v>
      </c>
      <c r="M792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_xlfn.XLOOKUP(C792,customers!$A$2:$A$1001,customers!$I$2:$I$1001,,0)</f>
        <v>No</v>
      </c>
    </row>
    <row r="793" spans="1:16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_xlfn.XLOOKUP(C793,customers!$A$1:$A$1001,customers!$C$1:$C$1001,,0)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>
        <f>INDEX(products!$A$1:$G$49,MATCH(orders!$D793,products!$A$1:$A$49,0),MATCH(orders!K$1,products!$A$1:$G$1,0))</f>
        <v>0.2</v>
      </c>
      <c r="L793">
        <f>INDEX(products!$A$1:$G$49,MATCH(orders!$D793,products!$A$1:$A$49,0),MATCH(orders!L$1,products!$A$1:$G$1,0))</f>
        <v>4.7549999999999999</v>
      </c>
      <c r="M793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_xlfn.XLOOKUP(C793,customers!$A$2:$A$1001,customers!$I$2:$I$1001,,0)</f>
        <v>Yes</v>
      </c>
    </row>
    <row r="794" spans="1:16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_xlfn.XLOOKUP(C794,customers!$A$1:$A$1001,customers!$C$1:$C$1001,,0)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>
        <f>INDEX(products!$A$1:$G$49,MATCH(orders!$D794,products!$A$1:$A$49,0),MATCH(orders!K$1,products!$A$1:$G$1,0))</f>
        <v>0.5</v>
      </c>
      <c r="L794">
        <f>INDEX(products!$A$1:$G$49,MATCH(orders!$D794,products!$A$1:$A$49,0),MATCH(orders!L$1,products!$A$1:$G$1,0))</f>
        <v>8.73</v>
      </c>
      <c r="M794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_xlfn.XLOOKUP(C794,customers!$A$2:$A$1001,customers!$I$2:$I$1001,,0)</f>
        <v>Yes</v>
      </c>
    </row>
    <row r="795" spans="1:16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_xlfn.XLOOKUP(C795,customers!$A$1:$A$1001,customers!$C$1:$C$1001,,0)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>
        <f>INDEX(products!$A$1:$G$49,MATCH(orders!$D795,products!$A$1:$A$49,0),MATCH(orders!K$1,products!$A$1:$G$1,0))</f>
        <v>0.2</v>
      </c>
      <c r="L795">
        <f>INDEX(products!$A$1:$G$49,MATCH(orders!$D795,products!$A$1:$A$49,0),MATCH(orders!L$1,products!$A$1:$G$1,0))</f>
        <v>3.5849999999999995</v>
      </c>
      <c r="M79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_xlfn.XLOOKUP(C795,customers!$A$2:$A$1001,customers!$I$2:$I$1001,,0)</f>
        <v>No</v>
      </c>
    </row>
    <row r="796" spans="1:16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_xlfn.XLOOKUP(C796,customers!$A$1:$A$1001,customers!$C$1:$C$1001,,0)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>
        <f>INDEX(products!$A$1:$G$49,MATCH(orders!$D796,products!$A$1:$A$49,0),MATCH(orders!K$1,products!$A$1:$G$1,0))</f>
        <v>2.5</v>
      </c>
      <c r="L796">
        <f>INDEX(products!$A$1:$G$49,MATCH(orders!$D796,products!$A$1:$A$49,0),MATCH(orders!L$1,products!$A$1:$G$1,0))</f>
        <v>29.784999999999997</v>
      </c>
      <c r="M796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_xlfn.XLOOKUP(C796,customers!$A$2:$A$1001,customers!$I$2:$I$1001,,0)</f>
        <v>No</v>
      </c>
    </row>
    <row r="797" spans="1:16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_xlfn.XLOOKUP(C797,customers!$A$1:$A$1001,customers!$C$1:$C$1001,,0)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>
        <f>INDEX(products!$A$1:$G$49,MATCH(orders!$D797,products!$A$1:$A$49,0),MATCH(orders!K$1,products!$A$1:$G$1,0))</f>
        <v>0.5</v>
      </c>
      <c r="L797">
        <f>INDEX(products!$A$1:$G$49,MATCH(orders!$D797,products!$A$1:$A$49,0),MATCH(orders!L$1,products!$A$1:$G$1,0))</f>
        <v>7.169999999999999</v>
      </c>
      <c r="M797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_xlfn.XLOOKUP(C797,customers!$A$2:$A$1001,customers!$I$2:$I$1001,,0)</f>
        <v>No</v>
      </c>
    </row>
    <row r="798" spans="1:16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>
        <f>_xlfn.XLOOKUP(C798,customers!$A$1:$A$1001,customers!$C$1:$C$1001,,0)</f>
        <v>0</v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>
        <f>INDEX(products!$A$1:$G$49,MATCH(orders!$D798,products!$A$1:$A$49,0),MATCH(orders!K$1,products!$A$1:$G$1,0))</f>
        <v>0.5</v>
      </c>
      <c r="L798">
        <f>INDEX(products!$A$1:$G$49,MATCH(orders!$D798,products!$A$1:$A$49,0),MATCH(orders!L$1,products!$A$1:$G$1,0))</f>
        <v>9.51</v>
      </c>
      <c r="M798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_xlfn.XLOOKUP(C798,customers!$A$2:$A$1001,customers!$I$2:$I$1001,,0)</f>
        <v>No</v>
      </c>
    </row>
    <row r="799" spans="1:16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_xlfn.XLOOKUP(C799,customers!$A$1:$A$1001,customers!$C$1:$C$1001,,0)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>
        <f>INDEX(products!$A$1:$G$49,MATCH(orders!$D799,products!$A$1:$A$49,0),MATCH(orders!K$1,products!$A$1:$G$1,0))</f>
        <v>0.5</v>
      </c>
      <c r="L799">
        <f>INDEX(products!$A$1:$G$49,MATCH(orders!$D799,products!$A$1:$A$49,0),MATCH(orders!L$1,products!$A$1:$G$1,0))</f>
        <v>7.77</v>
      </c>
      <c r="M799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_xlfn.XLOOKUP(C799,customers!$A$2:$A$1001,customers!$I$2:$I$1001,,0)</f>
        <v>No</v>
      </c>
    </row>
    <row r="800" spans="1:16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_xlfn.XLOOKUP(C800,customers!$A$1:$A$1001,customers!$C$1:$C$1001,,0)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>
        <f>INDEX(products!$A$1:$G$49,MATCH(orders!$D800,products!$A$1:$A$49,0),MATCH(orders!K$1,products!$A$1:$G$1,0))</f>
        <v>0.2</v>
      </c>
      <c r="L800">
        <f>INDEX(products!$A$1:$G$49,MATCH(orders!$D800,products!$A$1:$A$49,0),MATCH(orders!L$1,products!$A$1:$G$1,0))</f>
        <v>2.6849999999999996</v>
      </c>
      <c r="M800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_xlfn.XLOOKUP(C800,customers!$A$2:$A$1001,customers!$I$2:$I$1001,,0)</f>
        <v>Yes</v>
      </c>
    </row>
    <row r="801" spans="1:16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>
        <f>_xlfn.XLOOKUP(C801,customers!$A$1:$A$1001,customers!$C$1:$C$1001,,0)</f>
        <v>0</v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>
        <f>INDEX(products!$A$1:$G$49,MATCH(orders!$D801,products!$A$1:$A$49,0),MATCH(orders!K$1,products!$A$1:$G$1,0))</f>
        <v>1</v>
      </c>
      <c r="L801">
        <f>INDEX(products!$A$1:$G$49,MATCH(orders!$D801,products!$A$1:$A$49,0),MATCH(orders!L$1,products!$A$1:$G$1,0))</f>
        <v>12.15</v>
      </c>
      <c r="M801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_xlfn.XLOOKUP(C801,customers!$A$2:$A$1001,customers!$I$2:$I$1001,,0)</f>
        <v>Yes</v>
      </c>
    </row>
    <row r="802" spans="1:16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_xlfn.XLOOKUP(C802,customers!$A$1:$A$1001,customers!$C$1:$C$1001,,0)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>
        <f>INDEX(products!$A$1:$G$49,MATCH(orders!$D802,products!$A$1:$A$49,0),MATCH(orders!K$1,products!$A$1:$G$1,0))</f>
        <v>0.2</v>
      </c>
      <c r="L802">
        <f>INDEX(products!$A$1:$G$49,MATCH(orders!$D802,products!$A$1:$A$49,0),MATCH(orders!L$1,products!$A$1:$G$1,0))</f>
        <v>2.6849999999999996</v>
      </c>
      <c r="M802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_xlfn.XLOOKUP(C802,customers!$A$2:$A$1001,customers!$I$2:$I$1001,,0)</f>
        <v>No</v>
      </c>
    </row>
    <row r="803" spans="1:16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_xlfn.XLOOKUP(C803,customers!$A$1:$A$1001,customers!$C$1:$C$1001,,0)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>
        <f>INDEX(products!$A$1:$G$49,MATCH(orders!$D803,products!$A$1:$A$49,0),MATCH(orders!K$1,products!$A$1:$G$1,0))</f>
        <v>2.5</v>
      </c>
      <c r="L803">
        <f>INDEX(products!$A$1:$G$49,MATCH(orders!$D803,products!$A$1:$A$49,0),MATCH(orders!L$1,products!$A$1:$G$1,0))</f>
        <v>20.584999999999997</v>
      </c>
      <c r="M803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_xlfn.XLOOKUP(C803,customers!$A$2:$A$1001,customers!$I$2:$I$1001,,0)</f>
        <v>Yes</v>
      </c>
    </row>
    <row r="804" spans="1:16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_xlfn.XLOOKUP(C804,customers!$A$1:$A$1001,customers!$C$1:$C$1001,,0)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>
        <f>INDEX(products!$A$1:$G$49,MATCH(orders!$D804,products!$A$1:$A$49,0),MATCH(orders!K$1,products!$A$1:$G$1,0))</f>
        <v>0.2</v>
      </c>
      <c r="L804">
        <f>INDEX(products!$A$1:$G$49,MATCH(orders!$D804,products!$A$1:$A$49,0),MATCH(orders!L$1,products!$A$1:$G$1,0))</f>
        <v>2.6849999999999996</v>
      </c>
      <c r="M804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_xlfn.XLOOKUP(C804,customers!$A$2:$A$1001,customers!$I$2:$I$1001,,0)</f>
        <v>No</v>
      </c>
    </row>
    <row r="805" spans="1:16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_xlfn.XLOOKUP(C805,customers!$A$1:$A$1001,customers!$C$1:$C$1001,,0)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>
        <f>INDEX(products!$A$1:$G$49,MATCH(orders!$D805,products!$A$1:$A$49,0),MATCH(orders!K$1,products!$A$1:$G$1,0))</f>
        <v>2.5</v>
      </c>
      <c r="L805">
        <f>INDEX(products!$A$1:$G$49,MATCH(orders!$D805,products!$A$1:$A$49,0),MATCH(orders!L$1,products!$A$1:$G$1,0))</f>
        <v>31.624999999999996</v>
      </c>
      <c r="M80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_xlfn.XLOOKUP(C805,customers!$A$2:$A$1001,customers!$I$2:$I$1001,,0)</f>
        <v>No</v>
      </c>
    </row>
    <row r="806" spans="1:16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>
        <f>_xlfn.XLOOKUP(C806,customers!$A$1:$A$1001,customers!$C$1:$C$1001,,0)</f>
        <v>0</v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>
        <f>INDEX(products!$A$1:$G$49,MATCH(orders!$D806,products!$A$1:$A$49,0),MATCH(orders!K$1,products!$A$1:$G$1,0))</f>
        <v>1</v>
      </c>
      <c r="L806">
        <f>INDEX(products!$A$1:$G$49,MATCH(orders!$D806,products!$A$1:$A$49,0),MATCH(orders!L$1,products!$A$1:$G$1,0))</f>
        <v>11.95</v>
      </c>
      <c r="M806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_xlfn.XLOOKUP(C806,customers!$A$2:$A$1001,customers!$I$2:$I$1001,,0)</f>
        <v>No</v>
      </c>
    </row>
    <row r="807" spans="1:16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>
        <f>_xlfn.XLOOKUP(C807,customers!$A$1:$A$1001,customers!$C$1:$C$1001,,0)</f>
        <v>0</v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>
        <f>INDEX(products!$A$1:$G$49,MATCH(orders!$D807,products!$A$1:$A$49,0),MATCH(orders!K$1,products!$A$1:$G$1,0))</f>
        <v>0.5</v>
      </c>
      <c r="L807">
        <f>INDEX(products!$A$1:$G$49,MATCH(orders!$D807,products!$A$1:$A$49,0),MATCH(orders!L$1,products!$A$1:$G$1,0))</f>
        <v>5.97</v>
      </c>
      <c r="M807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_xlfn.XLOOKUP(C807,customers!$A$2:$A$1001,customers!$I$2:$I$1001,,0)</f>
        <v>No</v>
      </c>
    </row>
    <row r="808" spans="1:16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>
        <f>_xlfn.XLOOKUP(C808,customers!$A$1:$A$1001,customers!$C$1:$C$1001,,0)</f>
        <v>0</v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>
        <f>INDEX(products!$A$1:$G$49,MATCH(orders!$D808,products!$A$1:$A$49,0),MATCH(orders!K$1,products!$A$1:$G$1,0))</f>
        <v>0.2</v>
      </c>
      <c r="L808">
        <f>INDEX(products!$A$1:$G$49,MATCH(orders!$D808,products!$A$1:$A$49,0),MATCH(orders!L$1,products!$A$1:$G$1,0))</f>
        <v>3.8849999999999998</v>
      </c>
      <c r="M808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_xlfn.XLOOKUP(C808,customers!$A$2:$A$1001,customers!$I$2:$I$1001,,0)</f>
        <v>Yes</v>
      </c>
    </row>
    <row r="809" spans="1:16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_xlfn.XLOOKUP(C809,customers!$A$1:$A$1001,customers!$C$1:$C$1001,,0)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>
        <f>INDEX(products!$A$1:$G$49,MATCH(orders!$D809,products!$A$1:$A$49,0),MATCH(orders!K$1,products!$A$1:$G$1,0))</f>
        <v>0.5</v>
      </c>
      <c r="L809">
        <f>INDEX(products!$A$1:$G$49,MATCH(orders!$D809,products!$A$1:$A$49,0),MATCH(orders!L$1,products!$A$1:$G$1,0))</f>
        <v>7.77</v>
      </c>
      <c r="M809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_xlfn.XLOOKUP(C809,customers!$A$2:$A$1001,customers!$I$2:$I$1001,,0)</f>
        <v>No</v>
      </c>
    </row>
    <row r="810" spans="1:16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>
        <f>_xlfn.XLOOKUP(C810,customers!$A$1:$A$1001,customers!$C$1:$C$1001,,0)</f>
        <v>0</v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>
        <f>INDEX(products!$A$1:$G$49,MATCH(orders!$D810,products!$A$1:$A$49,0),MATCH(orders!K$1,products!$A$1:$G$1,0))</f>
        <v>2.5</v>
      </c>
      <c r="L810">
        <f>INDEX(products!$A$1:$G$49,MATCH(orders!$D810,products!$A$1:$A$49,0),MATCH(orders!L$1,products!$A$1:$G$1,0))</f>
        <v>27.484999999999996</v>
      </c>
      <c r="M810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_xlfn.XLOOKUP(C810,customers!$A$2:$A$1001,customers!$I$2:$I$1001,,0)</f>
        <v>No</v>
      </c>
    </row>
    <row r="811" spans="1:16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>
        <f>_xlfn.XLOOKUP(C811,customers!$A$1:$A$1001,customers!$C$1:$C$1001,,0)</f>
        <v>0</v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>
        <f>INDEX(products!$A$1:$G$49,MATCH(orders!$D811,products!$A$1:$A$49,0),MATCH(orders!K$1,products!$A$1:$G$1,0))</f>
        <v>0.2</v>
      </c>
      <c r="L811">
        <f>INDEX(products!$A$1:$G$49,MATCH(orders!$D811,products!$A$1:$A$49,0),MATCH(orders!L$1,products!$A$1:$G$1,0))</f>
        <v>2.6849999999999996</v>
      </c>
      <c r="M811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_xlfn.XLOOKUP(C811,customers!$A$2:$A$1001,customers!$I$2:$I$1001,,0)</f>
        <v>Yes</v>
      </c>
    </row>
    <row r="812" spans="1:16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_xlfn.XLOOKUP(C812,customers!$A$1:$A$1001,customers!$C$1:$C$1001,,0)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>
        <f>INDEX(products!$A$1:$G$49,MATCH(orders!$D812,products!$A$1:$A$49,0),MATCH(orders!K$1,products!$A$1:$G$1,0))</f>
        <v>0.5</v>
      </c>
      <c r="L812">
        <f>INDEX(products!$A$1:$G$49,MATCH(orders!$D812,products!$A$1:$A$49,0),MATCH(orders!L$1,products!$A$1:$G$1,0))</f>
        <v>9.51</v>
      </c>
      <c r="M812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_xlfn.XLOOKUP(C812,customers!$A$2:$A$1001,customers!$I$2:$I$1001,,0)</f>
        <v>No</v>
      </c>
    </row>
    <row r="813" spans="1:16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_xlfn.XLOOKUP(C813,customers!$A$1:$A$1001,customers!$C$1:$C$1001,,0)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>
        <f>INDEX(products!$A$1:$G$49,MATCH(orders!$D813,products!$A$1:$A$49,0),MATCH(orders!K$1,products!$A$1:$G$1,0))</f>
        <v>1</v>
      </c>
      <c r="L813">
        <f>INDEX(products!$A$1:$G$49,MATCH(orders!$D813,products!$A$1:$A$49,0),MATCH(orders!L$1,products!$A$1:$G$1,0))</f>
        <v>11.25</v>
      </c>
      <c r="M813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_xlfn.XLOOKUP(C813,customers!$A$2:$A$1001,customers!$I$2:$I$1001,,0)</f>
        <v>Yes</v>
      </c>
    </row>
    <row r="814" spans="1:16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_xlfn.XLOOKUP(C814,customers!$A$1:$A$1001,customers!$C$1:$C$1001,,0)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>
        <f>INDEX(products!$A$1:$G$49,MATCH(orders!$D814,products!$A$1:$A$49,0),MATCH(orders!K$1,products!$A$1:$G$1,0))</f>
        <v>2.5</v>
      </c>
      <c r="L814">
        <f>INDEX(products!$A$1:$G$49,MATCH(orders!$D814,products!$A$1:$A$49,0),MATCH(orders!L$1,products!$A$1:$G$1,0))</f>
        <v>29.784999999999997</v>
      </c>
      <c r="M814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_xlfn.XLOOKUP(C814,customers!$A$2:$A$1001,customers!$I$2:$I$1001,,0)</f>
        <v>Yes</v>
      </c>
    </row>
    <row r="815" spans="1:16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_xlfn.XLOOKUP(C815,customers!$A$1:$A$1001,customers!$C$1:$C$1001,,0)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>
        <f>INDEX(products!$A$1:$G$49,MATCH(orders!$D815,products!$A$1:$A$49,0),MATCH(orders!K$1,products!$A$1:$G$1,0))</f>
        <v>2.5</v>
      </c>
      <c r="L815">
        <f>INDEX(products!$A$1:$G$49,MATCH(orders!$D815,products!$A$1:$A$49,0),MATCH(orders!L$1,products!$A$1:$G$1,0))</f>
        <v>31.624999999999996</v>
      </c>
      <c r="M81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_xlfn.XLOOKUP(C815,customers!$A$2:$A$1001,customers!$I$2:$I$1001,,0)</f>
        <v>Yes</v>
      </c>
    </row>
    <row r="816" spans="1:16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_xlfn.XLOOKUP(C816,customers!$A$1:$A$1001,customers!$C$1:$C$1001,,0)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>
        <f>INDEX(products!$A$1:$G$49,MATCH(orders!$D816,products!$A$1:$A$49,0),MATCH(orders!K$1,products!$A$1:$G$1,0))</f>
        <v>0.2</v>
      </c>
      <c r="L816">
        <f>INDEX(products!$A$1:$G$49,MATCH(orders!$D816,products!$A$1:$A$49,0),MATCH(orders!L$1,products!$A$1:$G$1,0))</f>
        <v>4.4550000000000001</v>
      </c>
      <c r="M816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_xlfn.XLOOKUP(C816,customers!$A$2:$A$1001,customers!$I$2:$I$1001,,0)</f>
        <v>No</v>
      </c>
    </row>
    <row r="817" spans="1:16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_xlfn.XLOOKUP(C817,customers!$A$1:$A$1001,customers!$C$1:$C$1001,,0)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>
        <f>INDEX(products!$A$1:$G$49,MATCH(orders!$D817,products!$A$1:$A$49,0),MATCH(orders!K$1,products!$A$1:$G$1,0))</f>
        <v>0.5</v>
      </c>
      <c r="L817">
        <f>INDEX(products!$A$1:$G$49,MATCH(orders!$D817,products!$A$1:$A$49,0),MATCH(orders!L$1,products!$A$1:$G$1,0))</f>
        <v>5.97</v>
      </c>
      <c r="M817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_xlfn.XLOOKUP(C817,customers!$A$2:$A$1001,customers!$I$2:$I$1001,,0)</f>
        <v>No</v>
      </c>
    </row>
    <row r="818" spans="1:16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_xlfn.XLOOKUP(C818,customers!$A$1:$A$1001,customers!$C$1:$C$1001,,0)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>
        <f>INDEX(products!$A$1:$G$49,MATCH(orders!$D818,products!$A$1:$A$49,0),MATCH(orders!K$1,products!$A$1:$G$1,0))</f>
        <v>0.5</v>
      </c>
      <c r="L818">
        <f>INDEX(products!$A$1:$G$49,MATCH(orders!$D818,products!$A$1:$A$49,0),MATCH(orders!L$1,products!$A$1:$G$1,0))</f>
        <v>9.51</v>
      </c>
      <c r="M818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_xlfn.XLOOKUP(C818,customers!$A$2:$A$1001,customers!$I$2:$I$1001,,0)</f>
        <v>No</v>
      </c>
    </row>
    <row r="819" spans="1:16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_xlfn.XLOOKUP(C819,customers!$A$1:$A$1001,customers!$C$1:$C$1001,,0)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>
        <f>INDEX(products!$A$1:$G$49,MATCH(orders!$D819,products!$A$1:$A$49,0),MATCH(orders!K$1,products!$A$1:$G$1,0))</f>
        <v>0.5</v>
      </c>
      <c r="L819">
        <f>INDEX(products!$A$1:$G$49,MATCH(orders!$D819,products!$A$1:$A$49,0),MATCH(orders!L$1,products!$A$1:$G$1,0))</f>
        <v>7.77</v>
      </c>
      <c r="M819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_xlfn.XLOOKUP(C819,customers!$A$2:$A$1001,customers!$I$2:$I$1001,,0)</f>
        <v>No</v>
      </c>
    </row>
    <row r="820" spans="1:16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>
        <f>_xlfn.XLOOKUP(C820,customers!$A$1:$A$1001,customers!$C$1:$C$1001,,0)</f>
        <v>0</v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>
        <f>INDEX(products!$A$1:$G$49,MATCH(orders!$D820,products!$A$1:$A$49,0),MATCH(orders!K$1,products!$A$1:$G$1,0))</f>
        <v>1</v>
      </c>
      <c r="L820">
        <f>INDEX(products!$A$1:$G$49,MATCH(orders!$D820,products!$A$1:$A$49,0),MATCH(orders!L$1,products!$A$1:$G$1,0))</f>
        <v>15.85</v>
      </c>
      <c r="M820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_xlfn.XLOOKUP(C820,customers!$A$2:$A$1001,customers!$I$2:$I$1001,,0)</f>
        <v>No</v>
      </c>
    </row>
    <row r="821" spans="1:16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_xlfn.XLOOKUP(C821,customers!$A$1:$A$1001,customers!$C$1:$C$1001,,0)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>
        <f>INDEX(products!$A$1:$G$49,MATCH(orders!$D821,products!$A$1:$A$49,0),MATCH(orders!K$1,products!$A$1:$G$1,0))</f>
        <v>0.2</v>
      </c>
      <c r="L821">
        <f>INDEX(products!$A$1:$G$49,MATCH(orders!$D821,products!$A$1:$A$49,0),MATCH(orders!L$1,products!$A$1:$G$1,0))</f>
        <v>4.7549999999999999</v>
      </c>
      <c r="M821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_xlfn.XLOOKUP(C821,customers!$A$2:$A$1001,customers!$I$2:$I$1001,,0)</f>
        <v>Yes</v>
      </c>
    </row>
    <row r="822" spans="1:16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_xlfn.XLOOKUP(C822,customers!$A$1:$A$1001,customers!$C$1:$C$1001,,0)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>
        <f>INDEX(products!$A$1:$G$49,MATCH(orders!$D822,products!$A$1:$A$49,0),MATCH(orders!K$1,products!$A$1:$G$1,0))</f>
        <v>1</v>
      </c>
      <c r="L822">
        <f>INDEX(products!$A$1:$G$49,MATCH(orders!$D822,products!$A$1:$A$49,0),MATCH(orders!L$1,products!$A$1:$G$1,0))</f>
        <v>13.75</v>
      </c>
      <c r="M822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_xlfn.XLOOKUP(C822,customers!$A$2:$A$1001,customers!$I$2:$I$1001,,0)</f>
        <v>Yes</v>
      </c>
    </row>
    <row r="823" spans="1:16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_xlfn.XLOOKUP(C823,customers!$A$1:$A$1001,customers!$C$1:$C$1001,,0)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>
        <f>INDEX(products!$A$1:$G$49,MATCH(orders!$D823,products!$A$1:$A$49,0),MATCH(orders!K$1,products!$A$1:$G$1,0))</f>
        <v>0.5</v>
      </c>
      <c r="L823">
        <f>INDEX(products!$A$1:$G$49,MATCH(orders!$D823,products!$A$1:$A$49,0),MATCH(orders!L$1,products!$A$1:$G$1,0))</f>
        <v>5.3699999999999992</v>
      </c>
      <c r="M823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_xlfn.XLOOKUP(C823,customers!$A$2:$A$1001,customers!$I$2:$I$1001,,0)</f>
        <v>No</v>
      </c>
    </row>
    <row r="824" spans="1:16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_xlfn.XLOOKUP(C824,customers!$A$1:$A$1001,customers!$C$1:$C$1001,,0)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>
        <f>INDEX(products!$A$1:$G$49,MATCH(orders!$D824,products!$A$1:$A$49,0),MATCH(orders!K$1,products!$A$1:$G$1,0))</f>
        <v>2.5</v>
      </c>
      <c r="L824">
        <f>INDEX(products!$A$1:$G$49,MATCH(orders!$D824,products!$A$1:$A$49,0),MATCH(orders!L$1,products!$A$1:$G$1,0))</f>
        <v>34.154999999999994</v>
      </c>
      <c r="M824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_xlfn.XLOOKUP(C824,customers!$A$2:$A$1001,customers!$I$2:$I$1001,,0)</f>
        <v>No</v>
      </c>
    </row>
    <row r="825" spans="1:16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_xlfn.XLOOKUP(C825,customers!$A$1:$A$1001,customers!$C$1:$C$1001,,0)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>
        <f>INDEX(products!$A$1:$G$49,MATCH(orders!$D825,products!$A$1:$A$49,0),MATCH(orders!K$1,products!$A$1:$G$1,0))</f>
        <v>1</v>
      </c>
      <c r="L825">
        <f>INDEX(products!$A$1:$G$49,MATCH(orders!$D825,products!$A$1:$A$49,0),MATCH(orders!L$1,products!$A$1:$G$1,0))</f>
        <v>15.85</v>
      </c>
      <c r="M82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_xlfn.XLOOKUP(C825,customers!$A$2:$A$1001,customers!$I$2:$I$1001,,0)</f>
        <v>Yes</v>
      </c>
    </row>
    <row r="826" spans="1:16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_xlfn.XLOOKUP(C826,customers!$A$1:$A$1001,customers!$C$1:$C$1001,,0)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>
        <f>INDEX(products!$A$1:$G$49,MATCH(orders!$D826,products!$A$1:$A$49,0),MATCH(orders!K$1,products!$A$1:$G$1,0))</f>
        <v>0.2</v>
      </c>
      <c r="L826">
        <f>INDEX(products!$A$1:$G$49,MATCH(orders!$D826,products!$A$1:$A$49,0),MATCH(orders!L$1,products!$A$1:$G$1,0))</f>
        <v>3.375</v>
      </c>
      <c r="M826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_xlfn.XLOOKUP(C826,customers!$A$2:$A$1001,customers!$I$2:$I$1001,,0)</f>
        <v>Yes</v>
      </c>
    </row>
    <row r="827" spans="1:16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_xlfn.XLOOKUP(C827,customers!$A$1:$A$1001,customers!$C$1:$C$1001,,0)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>
        <f>INDEX(products!$A$1:$G$49,MATCH(orders!$D827,products!$A$1:$A$49,0),MATCH(orders!K$1,products!$A$1:$G$1,0))</f>
        <v>1</v>
      </c>
      <c r="L827">
        <f>INDEX(products!$A$1:$G$49,MATCH(orders!$D827,products!$A$1:$A$49,0),MATCH(orders!L$1,products!$A$1:$G$1,0))</f>
        <v>9.9499999999999993</v>
      </c>
      <c r="M827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_xlfn.XLOOKUP(C827,customers!$A$2:$A$1001,customers!$I$2:$I$1001,,0)</f>
        <v>Yes</v>
      </c>
    </row>
    <row r="828" spans="1:16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_xlfn.XLOOKUP(C828,customers!$A$1:$A$1001,customers!$C$1:$C$1001,,0)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>
        <f>INDEX(products!$A$1:$G$49,MATCH(orders!$D828,products!$A$1:$A$49,0),MATCH(orders!K$1,products!$A$1:$G$1,0))</f>
        <v>0.5</v>
      </c>
      <c r="L828">
        <f>INDEX(products!$A$1:$G$49,MATCH(orders!$D828,products!$A$1:$A$49,0),MATCH(orders!L$1,products!$A$1:$G$1,0))</f>
        <v>8.25</v>
      </c>
      <c r="M828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_xlfn.XLOOKUP(C828,customers!$A$2:$A$1001,customers!$I$2:$I$1001,,0)</f>
        <v>Yes</v>
      </c>
    </row>
    <row r="829" spans="1:16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_xlfn.XLOOKUP(C829,customers!$A$1:$A$1001,customers!$C$1:$C$1001,,0)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>
        <f>INDEX(products!$A$1:$G$49,MATCH(orders!$D829,products!$A$1:$A$49,0),MATCH(orders!K$1,products!$A$1:$G$1,0))</f>
        <v>0.2</v>
      </c>
      <c r="L829">
        <f>INDEX(products!$A$1:$G$49,MATCH(orders!$D829,products!$A$1:$A$49,0),MATCH(orders!L$1,products!$A$1:$G$1,0))</f>
        <v>4.125</v>
      </c>
      <c r="M829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_xlfn.XLOOKUP(C829,customers!$A$2:$A$1001,customers!$I$2:$I$1001,,0)</f>
        <v>No</v>
      </c>
    </row>
    <row r="830" spans="1:16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_xlfn.XLOOKUP(C830,customers!$A$1:$A$1001,customers!$C$1:$C$1001,,0)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>
        <f>INDEX(products!$A$1:$G$49,MATCH(orders!$D830,products!$A$1:$A$49,0),MATCH(orders!K$1,products!$A$1:$G$1,0))</f>
        <v>2.5</v>
      </c>
      <c r="L830">
        <f>INDEX(products!$A$1:$G$49,MATCH(orders!$D830,products!$A$1:$A$49,0),MATCH(orders!L$1,products!$A$1:$G$1,0))</f>
        <v>22.884999999999998</v>
      </c>
      <c r="M830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_xlfn.XLOOKUP(C830,customers!$A$2:$A$1001,customers!$I$2:$I$1001,,0)</f>
        <v>Yes</v>
      </c>
    </row>
    <row r="831" spans="1:16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_xlfn.XLOOKUP(C831,customers!$A$1:$A$1001,customers!$C$1:$C$1001,,0)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>
        <f>INDEX(products!$A$1:$G$49,MATCH(orders!$D831,products!$A$1:$A$49,0),MATCH(orders!K$1,products!$A$1:$G$1,0))</f>
        <v>0.2</v>
      </c>
      <c r="L831">
        <f>INDEX(products!$A$1:$G$49,MATCH(orders!$D831,products!$A$1:$A$49,0),MATCH(orders!L$1,products!$A$1:$G$1,0))</f>
        <v>2.9849999999999999</v>
      </c>
      <c r="M831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_xlfn.XLOOKUP(C831,customers!$A$2:$A$1001,customers!$I$2:$I$1001,,0)</f>
        <v>No</v>
      </c>
    </row>
    <row r="832" spans="1:16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_xlfn.XLOOKUP(C832,customers!$A$1:$A$1001,customers!$C$1:$C$1001,,0)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>
        <f>INDEX(products!$A$1:$G$49,MATCH(orders!$D832,products!$A$1:$A$49,0),MATCH(orders!K$1,products!$A$1:$G$1,0))</f>
        <v>1</v>
      </c>
      <c r="L832">
        <f>INDEX(products!$A$1:$G$49,MATCH(orders!$D832,products!$A$1:$A$49,0),MATCH(orders!L$1,products!$A$1:$G$1,0))</f>
        <v>13.75</v>
      </c>
      <c r="M832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_xlfn.XLOOKUP(C832,customers!$A$2:$A$1001,customers!$I$2:$I$1001,,0)</f>
        <v>No</v>
      </c>
    </row>
    <row r="833" spans="1:16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_xlfn.XLOOKUP(C833,customers!$A$1:$A$1001,customers!$C$1:$C$1001,,0)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>
        <f>INDEX(products!$A$1:$G$49,MATCH(orders!$D833,products!$A$1:$A$49,0),MATCH(orders!K$1,products!$A$1:$G$1,0))</f>
        <v>0.2</v>
      </c>
      <c r="L833">
        <f>INDEX(products!$A$1:$G$49,MATCH(orders!$D833,products!$A$1:$A$49,0),MATCH(orders!L$1,products!$A$1:$G$1,0))</f>
        <v>2.9849999999999999</v>
      </c>
      <c r="M833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_xlfn.XLOOKUP(C833,customers!$A$2:$A$1001,customers!$I$2:$I$1001,,0)</f>
        <v>No</v>
      </c>
    </row>
    <row r="834" spans="1:16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_xlfn.XLOOKUP(C834,customers!$A$1:$A$1001,customers!$C$1:$C$1001,,0)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>
        <f>INDEX(products!$A$1:$G$49,MATCH(orders!$D834,products!$A$1:$A$49,0),MATCH(orders!K$1,products!$A$1:$G$1,0))</f>
        <v>1</v>
      </c>
      <c r="L834">
        <f>INDEX(products!$A$1:$G$49,MATCH(orders!$D834,products!$A$1:$A$49,0),MATCH(orders!L$1,products!$A$1:$G$1,0))</f>
        <v>9.9499999999999993</v>
      </c>
      <c r="M834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_xlfn.XLOOKUP(C834,customers!$A$2:$A$1001,customers!$I$2:$I$1001,,0)</f>
        <v>No</v>
      </c>
    </row>
    <row r="835" spans="1:16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_xlfn.XLOOKUP(C835,customers!$A$1:$A$1001,customers!$C$1:$C$1001,,0)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>
        <f>INDEX(products!$A$1:$G$49,MATCH(orders!$D835,products!$A$1:$A$49,0),MATCH(orders!K$1,products!$A$1:$G$1,0))</f>
        <v>2.5</v>
      </c>
      <c r="L835">
        <f>INDEX(products!$A$1:$G$49,MATCH(orders!$D835,products!$A$1:$A$49,0),MATCH(orders!L$1,products!$A$1:$G$1,0))</f>
        <v>20.584999999999997</v>
      </c>
      <c r="M835">
        <f t="shared" ref="M835:M898" si="39">L835*E835</f>
        <v>82.339999999999989</v>
      </c>
      <c r="N835" t="str">
        <f t="shared" ref="N835:N898" si="40">IF(I835="Rob","Robusta",IF(I835="Exc","Excelsa",IF(I835="Lib","Liberica",IF(I835="Ara","Arabica"))))</f>
        <v>Robusta</v>
      </c>
      <c r="O835" t="str">
        <f t="shared" si="38"/>
        <v>Dark</v>
      </c>
      <c r="P835" t="str">
        <f>_xlfn.XLOOKUP(C835,customers!$A$2:$A$1001,customers!$I$2:$I$1001,,0)</f>
        <v>Yes</v>
      </c>
    </row>
    <row r="836" spans="1:16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_xlfn.XLOOKUP(C836,customers!$A$1:$A$1001,customers!$C$1:$C$1001,,0)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>
        <f>INDEX(products!$A$1:$G$49,MATCH(orders!$D836,products!$A$1:$A$49,0),MATCH(orders!K$1,products!$A$1:$G$1,0))</f>
        <v>2.5</v>
      </c>
      <c r="L836">
        <f>INDEX(products!$A$1:$G$49,MATCH(orders!$D836,products!$A$1:$A$49,0),MATCH(orders!L$1,products!$A$1:$G$1,0))</f>
        <v>22.884999999999998</v>
      </c>
      <c r="M836">
        <f t="shared" si="39"/>
        <v>22.884999999999998</v>
      </c>
      <c r="N836" t="str">
        <f t="shared" si="40"/>
        <v>Arabica</v>
      </c>
      <c r="O836" t="str">
        <f t="shared" si="38"/>
        <v>Dark</v>
      </c>
      <c r="P836" t="str">
        <f>_xlfn.XLOOKUP(C836,customers!$A$2:$A$1001,customers!$I$2:$I$1001,,0)</f>
        <v>No</v>
      </c>
    </row>
    <row r="837" spans="1:16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_xlfn.XLOOKUP(C837,customers!$A$1:$A$1001,customers!$C$1:$C$1001,,0)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>
        <f>INDEX(products!$A$1:$G$49,MATCH(orders!$D837,products!$A$1:$A$49,0),MATCH(orders!K$1,products!$A$1:$G$1,0))</f>
        <v>0.5</v>
      </c>
      <c r="L837">
        <f>INDEX(products!$A$1:$G$49,MATCH(orders!$D837,products!$A$1:$A$49,0),MATCH(orders!L$1,products!$A$1:$G$1,0))</f>
        <v>8.91</v>
      </c>
      <c r="M837">
        <f t="shared" si="39"/>
        <v>8.91</v>
      </c>
      <c r="N837" t="str">
        <f t="shared" si="40"/>
        <v>Excelsa</v>
      </c>
      <c r="O837" t="str">
        <f t="shared" ref="O837:O900" si="41">IF(J837="L","Light",IF(J837="M","Medium",IF(J837="D","Dark")))</f>
        <v>Light</v>
      </c>
      <c r="P837" t="str">
        <f>_xlfn.XLOOKUP(C837,customers!$A$2:$A$1001,customers!$I$2:$I$1001,,0)</f>
        <v>Yes</v>
      </c>
    </row>
    <row r="838" spans="1:16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_xlfn.XLOOKUP(C838,customers!$A$1:$A$1001,customers!$C$1:$C$1001,,0)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>
        <f>INDEX(products!$A$1:$G$49,MATCH(orders!$D838,products!$A$1:$A$49,0),MATCH(orders!K$1,products!$A$1:$G$1,0))</f>
        <v>0.2</v>
      </c>
      <c r="L838">
        <f>INDEX(products!$A$1:$G$49,MATCH(orders!$D838,products!$A$1:$A$49,0),MATCH(orders!L$1,products!$A$1:$G$1,0))</f>
        <v>2.9849999999999999</v>
      </c>
      <c r="M838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_xlfn.XLOOKUP(C838,customers!$A$2:$A$1001,customers!$I$2:$I$1001,,0)</f>
        <v>No</v>
      </c>
    </row>
    <row r="839" spans="1:16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>
        <f>_xlfn.XLOOKUP(C839,customers!$A$1:$A$1001,customers!$C$1:$C$1001,,0)</f>
        <v>0</v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>
        <f>INDEX(products!$A$1:$G$49,MATCH(orders!$D839,products!$A$1:$A$49,0),MATCH(orders!K$1,products!$A$1:$G$1,0))</f>
        <v>2.5</v>
      </c>
      <c r="L839">
        <f>INDEX(products!$A$1:$G$49,MATCH(orders!$D839,products!$A$1:$A$49,0),MATCH(orders!L$1,products!$A$1:$G$1,0))</f>
        <v>33.464999999999996</v>
      </c>
      <c r="M839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_xlfn.XLOOKUP(C839,customers!$A$2:$A$1001,customers!$I$2:$I$1001,,0)</f>
        <v>No</v>
      </c>
    </row>
    <row r="840" spans="1:16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_xlfn.XLOOKUP(C840,customers!$A$1:$A$1001,customers!$C$1:$C$1001,,0)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>
        <f>INDEX(products!$A$1:$G$49,MATCH(orders!$D840,products!$A$1:$A$49,0),MATCH(orders!K$1,products!$A$1:$G$1,0))</f>
        <v>2.5</v>
      </c>
      <c r="L840">
        <f>INDEX(products!$A$1:$G$49,MATCH(orders!$D840,products!$A$1:$A$49,0),MATCH(orders!L$1,products!$A$1:$G$1,0))</f>
        <v>22.884999999999998</v>
      </c>
      <c r="M840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_xlfn.XLOOKUP(C840,customers!$A$2:$A$1001,customers!$I$2:$I$1001,,0)</f>
        <v>No</v>
      </c>
    </row>
    <row r="841" spans="1:16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_xlfn.XLOOKUP(C841,customers!$A$1:$A$1001,customers!$C$1:$C$1001,,0)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>
        <f>INDEX(products!$A$1:$G$49,MATCH(orders!$D841,products!$A$1:$A$49,0),MATCH(orders!K$1,products!$A$1:$G$1,0))</f>
        <v>0.5</v>
      </c>
      <c r="L841">
        <f>INDEX(products!$A$1:$G$49,MATCH(orders!$D841,products!$A$1:$A$49,0),MATCH(orders!L$1,products!$A$1:$G$1,0))</f>
        <v>8.25</v>
      </c>
      <c r="M841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_xlfn.XLOOKUP(C841,customers!$A$2:$A$1001,customers!$I$2:$I$1001,,0)</f>
        <v>No</v>
      </c>
    </row>
    <row r="842" spans="1:16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_xlfn.XLOOKUP(C842,customers!$A$1:$A$1001,customers!$C$1:$C$1001,,0)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>
        <f>INDEX(products!$A$1:$G$49,MATCH(orders!$D842,products!$A$1:$A$49,0),MATCH(orders!K$1,products!$A$1:$G$1,0))</f>
        <v>0.5</v>
      </c>
      <c r="L842">
        <f>INDEX(products!$A$1:$G$49,MATCH(orders!$D842,products!$A$1:$A$49,0),MATCH(orders!L$1,products!$A$1:$G$1,0))</f>
        <v>7.169999999999999</v>
      </c>
      <c r="M842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_xlfn.XLOOKUP(C842,customers!$A$2:$A$1001,customers!$I$2:$I$1001,,0)</f>
        <v>Yes</v>
      </c>
    </row>
    <row r="843" spans="1:16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_xlfn.XLOOKUP(C843,customers!$A$1:$A$1001,customers!$C$1:$C$1001,,0)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>
        <f>INDEX(products!$A$1:$G$49,MATCH(orders!$D843,products!$A$1:$A$49,0),MATCH(orders!K$1,products!$A$1:$G$1,0))</f>
        <v>0.2</v>
      </c>
      <c r="L843">
        <f>INDEX(products!$A$1:$G$49,MATCH(orders!$D843,products!$A$1:$A$49,0),MATCH(orders!L$1,products!$A$1:$G$1,0))</f>
        <v>4.3650000000000002</v>
      </c>
      <c r="M843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_xlfn.XLOOKUP(C843,customers!$A$2:$A$1001,customers!$I$2:$I$1001,,0)</f>
        <v>No</v>
      </c>
    </row>
    <row r="844" spans="1:16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_xlfn.XLOOKUP(C844,customers!$A$1:$A$1001,customers!$C$1:$C$1001,,0)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>
        <f>INDEX(products!$A$1:$G$49,MATCH(orders!$D844,products!$A$1:$A$49,0),MATCH(orders!K$1,products!$A$1:$G$1,0))</f>
        <v>0.2</v>
      </c>
      <c r="L844">
        <f>INDEX(products!$A$1:$G$49,MATCH(orders!$D844,products!$A$1:$A$49,0),MATCH(orders!L$1,products!$A$1:$G$1,0))</f>
        <v>4.125</v>
      </c>
      <c r="M844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_xlfn.XLOOKUP(C844,customers!$A$2:$A$1001,customers!$I$2:$I$1001,,0)</f>
        <v>Yes</v>
      </c>
    </row>
    <row r="845" spans="1:16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_xlfn.XLOOKUP(C845,customers!$A$1:$A$1001,customers!$C$1:$C$1001,,0)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>
        <f>INDEX(products!$A$1:$G$49,MATCH(orders!$D845,products!$A$1:$A$49,0),MATCH(orders!K$1,products!$A$1:$G$1,0))</f>
        <v>0.2</v>
      </c>
      <c r="L845">
        <f>INDEX(products!$A$1:$G$49,MATCH(orders!$D845,products!$A$1:$A$49,0),MATCH(orders!L$1,products!$A$1:$G$1,0))</f>
        <v>4.125</v>
      </c>
      <c r="M84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_xlfn.XLOOKUP(C845,customers!$A$2:$A$1001,customers!$I$2:$I$1001,,0)</f>
        <v>Yes</v>
      </c>
    </row>
    <row r="846" spans="1:16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_xlfn.XLOOKUP(C846,customers!$A$1:$A$1001,customers!$C$1:$C$1001,,0)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>
        <f>INDEX(products!$A$1:$G$49,MATCH(orders!$D846,products!$A$1:$A$49,0),MATCH(orders!K$1,products!$A$1:$G$1,0))</f>
        <v>0.5</v>
      </c>
      <c r="L846">
        <f>INDEX(products!$A$1:$G$49,MATCH(orders!$D846,products!$A$1:$A$49,0),MATCH(orders!L$1,products!$A$1:$G$1,0))</f>
        <v>5.97</v>
      </c>
      <c r="M846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_xlfn.XLOOKUP(C846,customers!$A$2:$A$1001,customers!$I$2:$I$1001,,0)</f>
        <v>Yes</v>
      </c>
    </row>
    <row r="847" spans="1:16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_xlfn.XLOOKUP(C847,customers!$A$1:$A$1001,customers!$C$1:$C$1001,,0)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>
        <f>INDEX(products!$A$1:$G$49,MATCH(orders!$D847,products!$A$1:$A$49,0),MATCH(orders!K$1,products!$A$1:$G$1,0))</f>
        <v>2.5</v>
      </c>
      <c r="L847">
        <f>INDEX(products!$A$1:$G$49,MATCH(orders!$D847,products!$A$1:$A$49,0),MATCH(orders!L$1,products!$A$1:$G$1,0))</f>
        <v>27.945</v>
      </c>
      <c r="M847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_xlfn.XLOOKUP(C847,customers!$A$2:$A$1001,customers!$I$2:$I$1001,,0)</f>
        <v>No</v>
      </c>
    </row>
    <row r="848" spans="1:16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>
        <f>_xlfn.XLOOKUP(C848,customers!$A$1:$A$1001,customers!$C$1:$C$1001,,0)</f>
        <v>0</v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>
        <f>INDEX(products!$A$1:$G$49,MATCH(orders!$D848,products!$A$1:$A$49,0),MATCH(orders!K$1,products!$A$1:$G$1,0))</f>
        <v>2.5</v>
      </c>
      <c r="L848">
        <f>INDEX(products!$A$1:$G$49,MATCH(orders!$D848,products!$A$1:$A$49,0),MATCH(orders!L$1,products!$A$1:$G$1,0))</f>
        <v>25.874999999999996</v>
      </c>
      <c r="M848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_xlfn.XLOOKUP(C848,customers!$A$2:$A$1001,customers!$I$2:$I$1001,,0)</f>
        <v>Yes</v>
      </c>
    </row>
    <row r="849" spans="1:16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_xlfn.XLOOKUP(C849,customers!$A$1:$A$1001,customers!$C$1:$C$1001,,0)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>
        <f>INDEX(products!$A$1:$G$49,MATCH(orders!$D849,products!$A$1:$A$49,0),MATCH(orders!K$1,products!$A$1:$G$1,0))</f>
        <v>0.2</v>
      </c>
      <c r="L849">
        <f>INDEX(products!$A$1:$G$49,MATCH(orders!$D849,products!$A$1:$A$49,0),MATCH(orders!L$1,products!$A$1:$G$1,0))</f>
        <v>2.9849999999999999</v>
      </c>
      <c r="M849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_xlfn.XLOOKUP(C849,customers!$A$2:$A$1001,customers!$I$2:$I$1001,,0)</f>
        <v>Yes</v>
      </c>
    </row>
    <row r="850" spans="1:16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>
        <f>_xlfn.XLOOKUP(C850,customers!$A$1:$A$1001,customers!$C$1:$C$1001,,0)</f>
        <v>0</v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>
        <f>INDEX(products!$A$1:$G$49,MATCH(orders!$D850,products!$A$1:$A$49,0),MATCH(orders!K$1,products!$A$1:$G$1,0))</f>
        <v>0.5</v>
      </c>
      <c r="L850">
        <f>INDEX(products!$A$1:$G$49,MATCH(orders!$D850,products!$A$1:$A$49,0),MATCH(orders!L$1,products!$A$1:$G$1,0))</f>
        <v>8.91</v>
      </c>
      <c r="M850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_xlfn.XLOOKUP(C850,customers!$A$2:$A$1001,customers!$I$2:$I$1001,,0)</f>
        <v>No</v>
      </c>
    </row>
    <row r="851" spans="1:16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_xlfn.XLOOKUP(C851,customers!$A$1:$A$1001,customers!$C$1:$C$1001,,0)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>
        <f>INDEX(products!$A$1:$G$49,MATCH(orders!$D851,products!$A$1:$A$49,0),MATCH(orders!K$1,products!$A$1:$G$1,0))</f>
        <v>0.2</v>
      </c>
      <c r="L851">
        <f>INDEX(products!$A$1:$G$49,MATCH(orders!$D851,products!$A$1:$A$49,0),MATCH(orders!L$1,products!$A$1:$G$1,0))</f>
        <v>3.8849999999999998</v>
      </c>
      <c r="M851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_xlfn.XLOOKUP(C851,customers!$A$2:$A$1001,customers!$I$2:$I$1001,,0)</f>
        <v>Yes</v>
      </c>
    </row>
    <row r="852" spans="1:16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_xlfn.XLOOKUP(C852,customers!$A$1:$A$1001,customers!$C$1:$C$1001,,0)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>
        <f>INDEX(products!$A$1:$G$49,MATCH(orders!$D852,products!$A$1:$A$49,0),MATCH(orders!K$1,products!$A$1:$G$1,0))</f>
        <v>0.2</v>
      </c>
      <c r="L852">
        <f>INDEX(products!$A$1:$G$49,MATCH(orders!$D852,products!$A$1:$A$49,0),MATCH(orders!L$1,products!$A$1:$G$1,0))</f>
        <v>3.375</v>
      </c>
      <c r="M852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_xlfn.XLOOKUP(C852,customers!$A$2:$A$1001,customers!$I$2:$I$1001,,0)</f>
        <v>Yes</v>
      </c>
    </row>
    <row r="853" spans="1:16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_xlfn.XLOOKUP(C853,customers!$A$1:$A$1001,customers!$C$1:$C$1001,,0)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>
        <f>INDEX(products!$A$1:$G$49,MATCH(orders!$D853,products!$A$1:$A$49,0),MATCH(orders!K$1,products!$A$1:$G$1,0))</f>
        <v>0.5</v>
      </c>
      <c r="L853">
        <f>INDEX(products!$A$1:$G$49,MATCH(orders!$D853,products!$A$1:$A$49,0),MATCH(orders!L$1,products!$A$1:$G$1,0))</f>
        <v>7.77</v>
      </c>
      <c r="M853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_xlfn.XLOOKUP(C853,customers!$A$2:$A$1001,customers!$I$2:$I$1001,,0)</f>
        <v>Yes</v>
      </c>
    </row>
    <row r="854" spans="1:16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_xlfn.XLOOKUP(C854,customers!$A$1:$A$1001,customers!$C$1:$C$1001,,0)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>
        <f>INDEX(products!$A$1:$G$49,MATCH(orders!$D854,products!$A$1:$A$49,0),MATCH(orders!K$1,products!$A$1:$G$1,0))</f>
        <v>2.5</v>
      </c>
      <c r="L854">
        <f>INDEX(products!$A$1:$G$49,MATCH(orders!$D854,products!$A$1:$A$49,0),MATCH(orders!L$1,products!$A$1:$G$1,0))</f>
        <v>29.784999999999997</v>
      </c>
      <c r="M854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_xlfn.XLOOKUP(C854,customers!$A$2:$A$1001,customers!$I$2:$I$1001,,0)</f>
        <v>Yes</v>
      </c>
    </row>
    <row r="855" spans="1:16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_xlfn.XLOOKUP(C855,customers!$A$1:$A$1001,customers!$C$1:$C$1001,,0)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>
        <f>INDEX(products!$A$1:$G$49,MATCH(orders!$D855,products!$A$1:$A$49,0),MATCH(orders!K$1,products!$A$1:$G$1,0))</f>
        <v>1</v>
      </c>
      <c r="L855">
        <f>INDEX(products!$A$1:$G$49,MATCH(orders!$D855,products!$A$1:$A$49,0),MATCH(orders!L$1,products!$A$1:$G$1,0))</f>
        <v>9.9499999999999993</v>
      </c>
      <c r="M85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_xlfn.XLOOKUP(C855,customers!$A$2:$A$1001,customers!$I$2:$I$1001,,0)</f>
        <v>No</v>
      </c>
    </row>
    <row r="856" spans="1:16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_xlfn.XLOOKUP(C856,customers!$A$1:$A$1001,customers!$C$1:$C$1001,,0)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>
        <f>INDEX(products!$A$1:$G$49,MATCH(orders!$D856,products!$A$1:$A$49,0),MATCH(orders!K$1,products!$A$1:$G$1,0))</f>
        <v>0.5</v>
      </c>
      <c r="L856">
        <f>INDEX(products!$A$1:$G$49,MATCH(orders!$D856,products!$A$1:$A$49,0),MATCH(orders!L$1,products!$A$1:$G$1,0))</f>
        <v>7.169999999999999</v>
      </c>
      <c r="M856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_xlfn.XLOOKUP(C856,customers!$A$2:$A$1001,customers!$I$2:$I$1001,,0)</f>
        <v>Yes</v>
      </c>
    </row>
    <row r="857" spans="1:16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_xlfn.XLOOKUP(C857,customers!$A$1:$A$1001,customers!$C$1:$C$1001,,0)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>
        <f>INDEX(products!$A$1:$G$49,MATCH(orders!$D857,products!$A$1:$A$49,0),MATCH(orders!K$1,products!$A$1:$G$1,0))</f>
        <v>2.5</v>
      </c>
      <c r="L857">
        <f>INDEX(products!$A$1:$G$49,MATCH(orders!$D857,products!$A$1:$A$49,0),MATCH(orders!L$1,products!$A$1:$G$1,0))</f>
        <v>29.784999999999997</v>
      </c>
      <c r="M857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_xlfn.XLOOKUP(C857,customers!$A$2:$A$1001,customers!$I$2:$I$1001,,0)</f>
        <v>No</v>
      </c>
    </row>
    <row r="858" spans="1:16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_xlfn.XLOOKUP(C858,customers!$A$1:$A$1001,customers!$C$1:$C$1001,,0)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>
        <f>INDEX(products!$A$1:$G$49,MATCH(orders!$D858,products!$A$1:$A$49,0),MATCH(orders!K$1,products!$A$1:$G$1,0))</f>
        <v>0.2</v>
      </c>
      <c r="L858">
        <f>INDEX(products!$A$1:$G$49,MATCH(orders!$D858,products!$A$1:$A$49,0),MATCH(orders!L$1,products!$A$1:$G$1,0))</f>
        <v>4.3650000000000002</v>
      </c>
      <c r="M858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_xlfn.XLOOKUP(C858,customers!$A$2:$A$1001,customers!$I$2:$I$1001,,0)</f>
        <v>Yes</v>
      </c>
    </row>
    <row r="859" spans="1:16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_xlfn.XLOOKUP(C859,customers!$A$1:$A$1001,customers!$C$1:$C$1001,,0)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>
        <f>INDEX(products!$A$1:$G$49,MATCH(orders!$D859,products!$A$1:$A$49,0),MATCH(orders!K$1,products!$A$1:$G$1,0))</f>
        <v>2.5</v>
      </c>
      <c r="L859">
        <f>INDEX(products!$A$1:$G$49,MATCH(orders!$D859,products!$A$1:$A$49,0),MATCH(orders!L$1,products!$A$1:$G$1,0))</f>
        <v>27.484999999999996</v>
      </c>
      <c r="M859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_xlfn.XLOOKUP(C859,customers!$A$2:$A$1001,customers!$I$2:$I$1001,,0)</f>
        <v>No</v>
      </c>
    </row>
    <row r="860" spans="1:16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_xlfn.XLOOKUP(C860,customers!$A$1:$A$1001,customers!$C$1:$C$1001,,0)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>
        <f>INDEX(products!$A$1:$G$49,MATCH(orders!$D860,products!$A$1:$A$49,0),MATCH(orders!K$1,products!$A$1:$G$1,0))</f>
        <v>0.5</v>
      </c>
      <c r="L860">
        <f>INDEX(products!$A$1:$G$49,MATCH(orders!$D860,products!$A$1:$A$49,0),MATCH(orders!L$1,products!$A$1:$G$1,0))</f>
        <v>8.73</v>
      </c>
      <c r="M860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_xlfn.XLOOKUP(C860,customers!$A$2:$A$1001,customers!$I$2:$I$1001,,0)</f>
        <v>No</v>
      </c>
    </row>
    <row r="861" spans="1:16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_xlfn.XLOOKUP(C861,customers!$A$1:$A$1001,customers!$C$1:$C$1001,,0)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>
        <f>INDEX(products!$A$1:$G$49,MATCH(orders!$D861,products!$A$1:$A$49,0),MATCH(orders!K$1,products!$A$1:$G$1,0))</f>
        <v>2.5</v>
      </c>
      <c r="L861">
        <f>INDEX(products!$A$1:$G$49,MATCH(orders!$D861,products!$A$1:$A$49,0),MATCH(orders!L$1,products!$A$1:$G$1,0))</f>
        <v>29.784999999999997</v>
      </c>
      <c r="M861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_xlfn.XLOOKUP(C861,customers!$A$2:$A$1001,customers!$I$2:$I$1001,,0)</f>
        <v>No</v>
      </c>
    </row>
    <row r="862" spans="1:16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>
        <f>_xlfn.XLOOKUP(C862,customers!$A$1:$A$1001,customers!$C$1:$C$1001,,0)</f>
        <v>0</v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>
        <f>INDEX(products!$A$1:$G$49,MATCH(orders!$D862,products!$A$1:$A$49,0),MATCH(orders!K$1,products!$A$1:$G$1,0))</f>
        <v>2.5</v>
      </c>
      <c r="L862">
        <f>INDEX(products!$A$1:$G$49,MATCH(orders!$D862,products!$A$1:$A$49,0),MATCH(orders!L$1,products!$A$1:$G$1,0))</f>
        <v>25.874999999999996</v>
      </c>
      <c r="M862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_xlfn.XLOOKUP(C862,customers!$A$2:$A$1001,customers!$I$2:$I$1001,,0)</f>
        <v>No</v>
      </c>
    </row>
    <row r="863" spans="1:16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_xlfn.XLOOKUP(C863,customers!$A$1:$A$1001,customers!$C$1:$C$1001,,0)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>
        <f>INDEX(products!$A$1:$G$49,MATCH(orders!$D863,products!$A$1:$A$49,0),MATCH(orders!K$1,products!$A$1:$G$1,0))</f>
        <v>1</v>
      </c>
      <c r="L863">
        <f>INDEX(products!$A$1:$G$49,MATCH(orders!$D863,products!$A$1:$A$49,0),MATCH(orders!L$1,products!$A$1:$G$1,0))</f>
        <v>12.95</v>
      </c>
      <c r="M863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_xlfn.XLOOKUP(C863,customers!$A$2:$A$1001,customers!$I$2:$I$1001,,0)</f>
        <v>Yes</v>
      </c>
    </row>
    <row r="864" spans="1:16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_xlfn.XLOOKUP(C864,customers!$A$1:$A$1001,customers!$C$1:$C$1001,,0)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>
        <f>INDEX(products!$A$1:$G$49,MATCH(orders!$D864,products!$A$1:$A$49,0),MATCH(orders!K$1,products!$A$1:$G$1,0))</f>
        <v>1</v>
      </c>
      <c r="L864">
        <f>INDEX(products!$A$1:$G$49,MATCH(orders!$D864,products!$A$1:$A$49,0),MATCH(orders!L$1,products!$A$1:$G$1,0))</f>
        <v>9.9499999999999993</v>
      </c>
      <c r="M864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_xlfn.XLOOKUP(C864,customers!$A$2:$A$1001,customers!$I$2:$I$1001,,0)</f>
        <v>Yes</v>
      </c>
    </row>
    <row r="865" spans="1:16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_xlfn.XLOOKUP(C865,customers!$A$1:$A$1001,customers!$C$1:$C$1001,,0)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>
        <f>INDEX(products!$A$1:$G$49,MATCH(orders!$D865,products!$A$1:$A$49,0),MATCH(orders!K$1,products!$A$1:$G$1,0))</f>
        <v>1</v>
      </c>
      <c r="L865">
        <f>INDEX(products!$A$1:$G$49,MATCH(orders!$D865,products!$A$1:$A$49,0),MATCH(orders!L$1,products!$A$1:$G$1,0))</f>
        <v>14.55</v>
      </c>
      <c r="M86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_xlfn.XLOOKUP(C865,customers!$A$2:$A$1001,customers!$I$2:$I$1001,,0)</f>
        <v>Yes</v>
      </c>
    </row>
    <row r="866" spans="1:16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_xlfn.XLOOKUP(C866,customers!$A$1:$A$1001,customers!$C$1:$C$1001,,0)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>
        <f>INDEX(products!$A$1:$G$49,MATCH(orders!$D866,products!$A$1:$A$49,0),MATCH(orders!K$1,products!$A$1:$G$1,0))</f>
        <v>0.2</v>
      </c>
      <c r="L866">
        <f>INDEX(products!$A$1:$G$49,MATCH(orders!$D866,products!$A$1:$A$49,0),MATCH(orders!L$1,products!$A$1:$G$1,0))</f>
        <v>3.5849999999999995</v>
      </c>
      <c r="M866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_xlfn.XLOOKUP(C866,customers!$A$2:$A$1001,customers!$I$2:$I$1001,,0)</f>
        <v>No</v>
      </c>
    </row>
    <row r="867" spans="1:16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_xlfn.XLOOKUP(C867,customers!$A$1:$A$1001,customers!$C$1:$C$1001,,0)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>
        <f>INDEX(products!$A$1:$G$49,MATCH(orders!$D867,products!$A$1:$A$49,0),MATCH(orders!K$1,products!$A$1:$G$1,0))</f>
        <v>0.5</v>
      </c>
      <c r="L867">
        <f>INDEX(products!$A$1:$G$49,MATCH(orders!$D867,products!$A$1:$A$49,0),MATCH(orders!L$1,products!$A$1:$G$1,0))</f>
        <v>6.75</v>
      </c>
      <c r="M867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_xlfn.XLOOKUP(C867,customers!$A$2:$A$1001,customers!$I$2:$I$1001,,0)</f>
        <v>Yes</v>
      </c>
    </row>
    <row r="868" spans="1:16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_xlfn.XLOOKUP(C868,customers!$A$1:$A$1001,customers!$C$1:$C$1001,,0)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>
        <f>INDEX(products!$A$1:$G$49,MATCH(orders!$D868,products!$A$1:$A$49,0),MATCH(orders!K$1,products!$A$1:$G$1,0))</f>
        <v>0.5</v>
      </c>
      <c r="L868">
        <f>INDEX(products!$A$1:$G$49,MATCH(orders!$D868,products!$A$1:$A$49,0),MATCH(orders!L$1,products!$A$1:$G$1,0))</f>
        <v>5.97</v>
      </c>
      <c r="M868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_xlfn.XLOOKUP(C868,customers!$A$2:$A$1001,customers!$I$2:$I$1001,,0)</f>
        <v>No</v>
      </c>
    </row>
    <row r="869" spans="1:16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_xlfn.XLOOKUP(C869,customers!$A$1:$A$1001,customers!$C$1:$C$1001,,0)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>
        <f>INDEX(products!$A$1:$G$49,MATCH(orders!$D869,products!$A$1:$A$49,0),MATCH(orders!K$1,products!$A$1:$G$1,0))</f>
        <v>2.5</v>
      </c>
      <c r="L869">
        <f>INDEX(products!$A$1:$G$49,MATCH(orders!$D869,products!$A$1:$A$49,0),MATCH(orders!L$1,products!$A$1:$G$1,0))</f>
        <v>29.784999999999997</v>
      </c>
      <c r="M869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_xlfn.XLOOKUP(C869,customers!$A$2:$A$1001,customers!$I$2:$I$1001,,0)</f>
        <v>Yes</v>
      </c>
    </row>
    <row r="870" spans="1:16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_xlfn.XLOOKUP(C870,customers!$A$1:$A$1001,customers!$C$1:$C$1001,,0)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>
        <f>INDEX(products!$A$1:$G$49,MATCH(orders!$D870,products!$A$1:$A$49,0),MATCH(orders!K$1,products!$A$1:$G$1,0))</f>
        <v>0.5</v>
      </c>
      <c r="L870">
        <f>INDEX(products!$A$1:$G$49,MATCH(orders!$D870,products!$A$1:$A$49,0),MATCH(orders!L$1,products!$A$1:$G$1,0))</f>
        <v>8.25</v>
      </c>
      <c r="M870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_xlfn.XLOOKUP(C870,customers!$A$2:$A$1001,customers!$I$2:$I$1001,,0)</f>
        <v>Yes</v>
      </c>
    </row>
    <row r="871" spans="1:16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>
        <f>_xlfn.XLOOKUP(C871,customers!$A$1:$A$1001,customers!$C$1:$C$1001,,0)</f>
        <v>0</v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>
        <f>INDEX(products!$A$1:$G$49,MATCH(orders!$D871,products!$A$1:$A$49,0),MATCH(orders!K$1,products!$A$1:$G$1,0))</f>
        <v>0.5</v>
      </c>
      <c r="L871">
        <f>INDEX(products!$A$1:$G$49,MATCH(orders!$D871,products!$A$1:$A$49,0),MATCH(orders!L$1,products!$A$1:$G$1,0))</f>
        <v>5.97</v>
      </c>
      <c r="M871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_xlfn.XLOOKUP(C871,customers!$A$2:$A$1001,customers!$I$2:$I$1001,,0)</f>
        <v>Yes</v>
      </c>
    </row>
    <row r="872" spans="1:16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_xlfn.XLOOKUP(C872,customers!$A$1:$A$1001,customers!$C$1:$C$1001,,0)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>
        <f>INDEX(products!$A$1:$G$49,MATCH(orders!$D872,products!$A$1:$A$49,0),MATCH(orders!K$1,products!$A$1:$G$1,0))</f>
        <v>0.5</v>
      </c>
      <c r="L872">
        <f>INDEX(products!$A$1:$G$49,MATCH(orders!$D872,products!$A$1:$A$49,0),MATCH(orders!L$1,products!$A$1:$G$1,0))</f>
        <v>7.29</v>
      </c>
      <c r="M872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_xlfn.XLOOKUP(C872,customers!$A$2:$A$1001,customers!$I$2:$I$1001,,0)</f>
        <v>Yes</v>
      </c>
    </row>
    <row r="873" spans="1:16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_xlfn.XLOOKUP(C873,customers!$A$1:$A$1001,customers!$C$1:$C$1001,,0)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>
        <f>INDEX(products!$A$1:$G$49,MATCH(orders!$D873,products!$A$1:$A$49,0),MATCH(orders!K$1,products!$A$1:$G$1,0))</f>
        <v>1</v>
      </c>
      <c r="L873">
        <f>INDEX(products!$A$1:$G$49,MATCH(orders!$D873,products!$A$1:$A$49,0),MATCH(orders!L$1,products!$A$1:$G$1,0))</f>
        <v>14.85</v>
      </c>
      <c r="M873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_xlfn.XLOOKUP(C873,customers!$A$2:$A$1001,customers!$I$2:$I$1001,,0)</f>
        <v>Yes</v>
      </c>
    </row>
    <row r="874" spans="1:16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_xlfn.XLOOKUP(C874,customers!$A$1:$A$1001,customers!$C$1:$C$1001,,0)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>
        <f>INDEX(products!$A$1:$G$49,MATCH(orders!$D874,products!$A$1:$A$49,0),MATCH(orders!K$1,products!$A$1:$G$1,0))</f>
        <v>1</v>
      </c>
      <c r="L874">
        <f>INDEX(products!$A$1:$G$49,MATCH(orders!$D874,products!$A$1:$A$49,0),MATCH(orders!L$1,products!$A$1:$G$1,0))</f>
        <v>11.25</v>
      </c>
      <c r="M874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_xlfn.XLOOKUP(C874,customers!$A$2:$A$1001,customers!$I$2:$I$1001,,0)</f>
        <v>No</v>
      </c>
    </row>
    <row r="875" spans="1:16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_xlfn.XLOOKUP(C875,customers!$A$1:$A$1001,customers!$C$1:$C$1001,,0)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>
        <f>INDEX(products!$A$1:$G$49,MATCH(orders!$D875,products!$A$1:$A$49,0),MATCH(orders!K$1,products!$A$1:$G$1,0))</f>
        <v>0.2</v>
      </c>
      <c r="L875">
        <f>INDEX(products!$A$1:$G$49,MATCH(orders!$D875,products!$A$1:$A$49,0),MATCH(orders!L$1,products!$A$1:$G$1,0))</f>
        <v>2.9849999999999999</v>
      </c>
      <c r="M87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_xlfn.XLOOKUP(C875,customers!$A$2:$A$1001,customers!$I$2:$I$1001,,0)</f>
        <v>Yes</v>
      </c>
    </row>
    <row r="876" spans="1:16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_xlfn.XLOOKUP(C876,customers!$A$1:$A$1001,customers!$C$1:$C$1001,,0)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>
        <f>INDEX(products!$A$1:$G$49,MATCH(orders!$D876,products!$A$1:$A$49,0),MATCH(orders!K$1,products!$A$1:$G$1,0))</f>
        <v>1</v>
      </c>
      <c r="L876">
        <f>INDEX(products!$A$1:$G$49,MATCH(orders!$D876,products!$A$1:$A$49,0),MATCH(orders!L$1,products!$A$1:$G$1,0))</f>
        <v>12.95</v>
      </c>
      <c r="M876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_xlfn.XLOOKUP(C876,customers!$A$2:$A$1001,customers!$I$2:$I$1001,,0)</f>
        <v>No</v>
      </c>
    </row>
    <row r="877" spans="1:16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_xlfn.XLOOKUP(C877,customers!$A$1:$A$1001,customers!$C$1:$C$1001,,0)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>
        <f>INDEX(products!$A$1:$G$49,MATCH(orders!$D877,products!$A$1:$A$49,0),MATCH(orders!K$1,products!$A$1:$G$1,0))</f>
        <v>0.5</v>
      </c>
      <c r="L877">
        <f>INDEX(products!$A$1:$G$49,MATCH(orders!$D877,products!$A$1:$A$49,0),MATCH(orders!L$1,products!$A$1:$G$1,0))</f>
        <v>8.73</v>
      </c>
      <c r="M877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_xlfn.XLOOKUP(C877,customers!$A$2:$A$1001,customers!$I$2:$I$1001,,0)</f>
        <v>No</v>
      </c>
    </row>
    <row r="878" spans="1:16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_xlfn.XLOOKUP(C878,customers!$A$1:$A$1001,customers!$C$1:$C$1001,,0)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>
        <f>INDEX(products!$A$1:$G$49,MATCH(orders!$D878,products!$A$1:$A$49,0),MATCH(orders!K$1,products!$A$1:$G$1,0))</f>
        <v>0.5</v>
      </c>
      <c r="L878">
        <f>INDEX(products!$A$1:$G$49,MATCH(orders!$D878,products!$A$1:$A$49,0),MATCH(orders!L$1,products!$A$1:$G$1,0))</f>
        <v>7.77</v>
      </c>
      <c r="M878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_xlfn.XLOOKUP(C878,customers!$A$2:$A$1001,customers!$I$2:$I$1001,,0)</f>
        <v>No</v>
      </c>
    </row>
    <row r="879" spans="1:16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_xlfn.XLOOKUP(C879,customers!$A$1:$A$1001,customers!$C$1:$C$1001,,0)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>
        <f>INDEX(products!$A$1:$G$49,MATCH(orders!$D879,products!$A$1:$A$49,0),MATCH(orders!K$1,products!$A$1:$G$1,0))</f>
        <v>0.5</v>
      </c>
      <c r="L879">
        <f>INDEX(products!$A$1:$G$49,MATCH(orders!$D879,products!$A$1:$A$49,0),MATCH(orders!L$1,products!$A$1:$G$1,0))</f>
        <v>9.51</v>
      </c>
      <c r="M879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_xlfn.XLOOKUP(C879,customers!$A$2:$A$1001,customers!$I$2:$I$1001,,0)</f>
        <v>No</v>
      </c>
    </row>
    <row r="880" spans="1:16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>
        <f>_xlfn.XLOOKUP(C880,customers!$A$1:$A$1001,customers!$C$1:$C$1001,,0)</f>
        <v>0</v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>
        <f>INDEX(products!$A$1:$G$49,MATCH(orders!$D880,products!$A$1:$A$49,0),MATCH(orders!K$1,products!$A$1:$G$1,0))</f>
        <v>2.5</v>
      </c>
      <c r="L880">
        <f>INDEX(products!$A$1:$G$49,MATCH(orders!$D880,products!$A$1:$A$49,0),MATCH(orders!L$1,products!$A$1:$G$1,0))</f>
        <v>27.484999999999996</v>
      </c>
      <c r="M880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_xlfn.XLOOKUP(C880,customers!$A$2:$A$1001,customers!$I$2:$I$1001,,0)</f>
        <v>Yes</v>
      </c>
    </row>
    <row r="881" spans="1:16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>
        <f>_xlfn.XLOOKUP(C881,customers!$A$1:$A$1001,customers!$C$1:$C$1001,,0)</f>
        <v>0</v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>
        <f>INDEX(products!$A$1:$G$49,MATCH(orders!$D881,products!$A$1:$A$49,0),MATCH(orders!K$1,products!$A$1:$G$1,0))</f>
        <v>0.2</v>
      </c>
      <c r="L881">
        <f>INDEX(products!$A$1:$G$49,MATCH(orders!$D881,products!$A$1:$A$49,0),MATCH(orders!L$1,products!$A$1:$G$1,0))</f>
        <v>3.645</v>
      </c>
      <c r="M881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_xlfn.XLOOKUP(C881,customers!$A$2:$A$1001,customers!$I$2:$I$1001,,0)</f>
        <v>No</v>
      </c>
    </row>
    <row r="882" spans="1:16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_xlfn.XLOOKUP(C882,customers!$A$1:$A$1001,customers!$C$1:$C$1001,,0)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>
        <f>INDEX(products!$A$1:$G$49,MATCH(orders!$D882,products!$A$1:$A$49,0),MATCH(orders!K$1,products!$A$1:$G$1,0))</f>
        <v>0.2</v>
      </c>
      <c r="L882">
        <f>INDEX(products!$A$1:$G$49,MATCH(orders!$D882,products!$A$1:$A$49,0),MATCH(orders!L$1,products!$A$1:$G$1,0))</f>
        <v>3.5849999999999995</v>
      </c>
      <c r="M882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_xlfn.XLOOKUP(C882,customers!$A$2:$A$1001,customers!$I$2:$I$1001,,0)</f>
        <v>No</v>
      </c>
    </row>
    <row r="883" spans="1:16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>
        <f>_xlfn.XLOOKUP(C883,customers!$A$1:$A$1001,customers!$C$1:$C$1001,,0)</f>
        <v>0</v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>
        <f>INDEX(products!$A$1:$G$49,MATCH(orders!$D883,products!$A$1:$A$49,0),MATCH(orders!K$1,products!$A$1:$G$1,0))</f>
        <v>0.2</v>
      </c>
      <c r="L883">
        <f>INDEX(products!$A$1:$G$49,MATCH(orders!$D883,products!$A$1:$A$49,0),MATCH(orders!L$1,products!$A$1:$G$1,0))</f>
        <v>3.8849999999999998</v>
      </c>
      <c r="M883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_xlfn.XLOOKUP(C883,customers!$A$2:$A$1001,customers!$I$2:$I$1001,,0)</f>
        <v>Yes</v>
      </c>
    </row>
    <row r="884" spans="1:16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_xlfn.XLOOKUP(C884,customers!$A$1:$A$1001,customers!$C$1:$C$1001,,0)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>
        <f>INDEX(products!$A$1:$G$49,MATCH(orders!$D884,products!$A$1:$A$49,0),MATCH(orders!K$1,products!$A$1:$G$1,0))</f>
        <v>2.5</v>
      </c>
      <c r="L884">
        <f>INDEX(products!$A$1:$G$49,MATCH(orders!$D884,products!$A$1:$A$49,0),MATCH(orders!L$1,products!$A$1:$G$1,0))</f>
        <v>22.884999999999998</v>
      </c>
      <c r="M884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_xlfn.XLOOKUP(C884,customers!$A$2:$A$1001,customers!$I$2:$I$1001,,0)</f>
        <v>Yes</v>
      </c>
    </row>
    <row r="885" spans="1:16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_xlfn.XLOOKUP(C885,customers!$A$1:$A$1001,customers!$C$1:$C$1001,,0)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>
        <f>INDEX(products!$A$1:$G$49,MATCH(orders!$D885,products!$A$1:$A$49,0),MATCH(orders!K$1,products!$A$1:$G$1,0))</f>
        <v>2.5</v>
      </c>
      <c r="L885">
        <f>INDEX(products!$A$1:$G$49,MATCH(orders!$D885,products!$A$1:$A$49,0),MATCH(orders!L$1,products!$A$1:$G$1,0))</f>
        <v>25.874999999999996</v>
      </c>
      <c r="M88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_xlfn.XLOOKUP(C885,customers!$A$2:$A$1001,customers!$I$2:$I$1001,,0)</f>
        <v>Yes</v>
      </c>
    </row>
    <row r="886" spans="1:16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_xlfn.XLOOKUP(C886,customers!$A$1:$A$1001,customers!$C$1:$C$1001,,0)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>
        <f>INDEX(products!$A$1:$G$49,MATCH(orders!$D886,products!$A$1:$A$49,0),MATCH(orders!K$1,products!$A$1:$G$1,0))</f>
        <v>0.5</v>
      </c>
      <c r="L886">
        <f>INDEX(products!$A$1:$G$49,MATCH(orders!$D886,products!$A$1:$A$49,0),MATCH(orders!L$1,products!$A$1:$G$1,0))</f>
        <v>5.3699999999999992</v>
      </c>
      <c r="M886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_xlfn.XLOOKUP(C886,customers!$A$2:$A$1001,customers!$I$2:$I$1001,,0)</f>
        <v>Yes</v>
      </c>
    </row>
    <row r="887" spans="1:16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_xlfn.XLOOKUP(C887,customers!$A$1:$A$1001,customers!$C$1:$C$1001,,0)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>
        <f>INDEX(products!$A$1:$G$49,MATCH(orders!$D887,products!$A$1:$A$49,0),MATCH(orders!K$1,products!$A$1:$G$1,0))</f>
        <v>2.5</v>
      </c>
      <c r="L887">
        <f>INDEX(products!$A$1:$G$49,MATCH(orders!$D887,products!$A$1:$A$49,0),MATCH(orders!L$1,products!$A$1:$G$1,0))</f>
        <v>20.584999999999997</v>
      </c>
      <c r="M887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_xlfn.XLOOKUP(C887,customers!$A$2:$A$1001,customers!$I$2:$I$1001,,0)</f>
        <v>No</v>
      </c>
    </row>
    <row r="888" spans="1:16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_xlfn.XLOOKUP(C888,customers!$A$1:$A$1001,customers!$C$1:$C$1001,,0)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>
        <f>INDEX(products!$A$1:$G$49,MATCH(orders!$D888,products!$A$1:$A$49,0),MATCH(orders!K$1,products!$A$1:$G$1,0))</f>
        <v>0.5</v>
      </c>
      <c r="L888">
        <f>INDEX(products!$A$1:$G$49,MATCH(orders!$D888,products!$A$1:$A$49,0),MATCH(orders!L$1,products!$A$1:$G$1,0))</f>
        <v>8.73</v>
      </c>
      <c r="M888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_xlfn.XLOOKUP(C888,customers!$A$2:$A$1001,customers!$I$2:$I$1001,,0)</f>
        <v>No</v>
      </c>
    </row>
    <row r="889" spans="1:16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_xlfn.XLOOKUP(C889,customers!$A$1:$A$1001,customers!$C$1:$C$1001,,0)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>
        <f>INDEX(products!$A$1:$G$49,MATCH(orders!$D889,products!$A$1:$A$49,0),MATCH(orders!K$1,products!$A$1:$G$1,0))</f>
        <v>0.2</v>
      </c>
      <c r="L889">
        <f>INDEX(products!$A$1:$G$49,MATCH(orders!$D889,products!$A$1:$A$49,0),MATCH(orders!L$1,products!$A$1:$G$1,0))</f>
        <v>4.4550000000000001</v>
      </c>
      <c r="M889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_xlfn.XLOOKUP(C889,customers!$A$2:$A$1001,customers!$I$2:$I$1001,,0)</f>
        <v>No</v>
      </c>
    </row>
    <row r="890" spans="1:16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_xlfn.XLOOKUP(C890,customers!$A$1:$A$1001,customers!$C$1:$C$1001,,0)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>
        <f>INDEX(products!$A$1:$G$49,MATCH(orders!$D890,products!$A$1:$A$49,0),MATCH(orders!K$1,products!$A$1:$G$1,0))</f>
        <v>0.2</v>
      </c>
      <c r="L890">
        <f>INDEX(products!$A$1:$G$49,MATCH(orders!$D890,products!$A$1:$A$49,0),MATCH(orders!L$1,products!$A$1:$G$1,0))</f>
        <v>3.8849999999999998</v>
      </c>
      <c r="M890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_xlfn.XLOOKUP(C890,customers!$A$2:$A$1001,customers!$I$2:$I$1001,,0)</f>
        <v>Yes</v>
      </c>
    </row>
    <row r="891" spans="1:16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_xlfn.XLOOKUP(C891,customers!$A$1:$A$1001,customers!$C$1:$C$1001,,0)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>
        <f>INDEX(products!$A$1:$G$49,MATCH(orders!$D891,products!$A$1:$A$49,0),MATCH(orders!K$1,products!$A$1:$G$1,0))</f>
        <v>0.2</v>
      </c>
      <c r="L891">
        <f>INDEX(products!$A$1:$G$49,MATCH(orders!$D891,products!$A$1:$A$49,0),MATCH(orders!L$1,products!$A$1:$G$1,0))</f>
        <v>2.6849999999999996</v>
      </c>
      <c r="M891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_xlfn.XLOOKUP(C891,customers!$A$2:$A$1001,customers!$I$2:$I$1001,,0)</f>
        <v>Yes</v>
      </c>
    </row>
    <row r="892" spans="1:16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_xlfn.XLOOKUP(C892,customers!$A$1:$A$1001,customers!$C$1:$C$1001,,0)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>
        <f>INDEX(products!$A$1:$G$49,MATCH(orders!$D892,products!$A$1:$A$49,0),MATCH(orders!K$1,products!$A$1:$G$1,0))</f>
        <v>2.5</v>
      </c>
      <c r="L892">
        <f>INDEX(products!$A$1:$G$49,MATCH(orders!$D892,products!$A$1:$A$49,0),MATCH(orders!L$1,products!$A$1:$G$1,0))</f>
        <v>20.584999999999997</v>
      </c>
      <c r="M892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_xlfn.XLOOKUP(C892,customers!$A$2:$A$1001,customers!$I$2:$I$1001,,0)</f>
        <v>Yes</v>
      </c>
    </row>
    <row r="893" spans="1:16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_xlfn.XLOOKUP(C893,customers!$A$1:$A$1001,customers!$C$1:$C$1001,,0)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>
        <f>INDEX(products!$A$1:$G$49,MATCH(orders!$D893,products!$A$1:$A$49,0),MATCH(orders!K$1,products!$A$1:$G$1,0))</f>
        <v>2.5</v>
      </c>
      <c r="L893">
        <f>INDEX(products!$A$1:$G$49,MATCH(orders!$D893,products!$A$1:$A$49,0),MATCH(orders!L$1,products!$A$1:$G$1,0))</f>
        <v>22.884999999999998</v>
      </c>
      <c r="M893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_xlfn.XLOOKUP(C893,customers!$A$2:$A$1001,customers!$I$2:$I$1001,,0)</f>
        <v>Yes</v>
      </c>
    </row>
    <row r="894" spans="1:16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_xlfn.XLOOKUP(C894,customers!$A$1:$A$1001,customers!$C$1:$C$1001,,0)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>
        <f>INDEX(products!$A$1:$G$49,MATCH(orders!$D894,products!$A$1:$A$49,0),MATCH(orders!K$1,products!$A$1:$G$1,0))</f>
        <v>0.2</v>
      </c>
      <c r="L894">
        <f>INDEX(products!$A$1:$G$49,MATCH(orders!$D894,products!$A$1:$A$49,0),MATCH(orders!L$1,products!$A$1:$G$1,0))</f>
        <v>4.125</v>
      </c>
      <c r="M894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_xlfn.XLOOKUP(C894,customers!$A$2:$A$1001,customers!$I$2:$I$1001,,0)</f>
        <v>No</v>
      </c>
    </row>
    <row r="895" spans="1:16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_xlfn.XLOOKUP(C895,customers!$A$1:$A$1001,customers!$C$1:$C$1001,,0)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>
        <f>INDEX(products!$A$1:$G$49,MATCH(orders!$D895,products!$A$1:$A$49,0),MATCH(orders!K$1,products!$A$1:$G$1,0))</f>
        <v>0.5</v>
      </c>
      <c r="L895">
        <f>INDEX(products!$A$1:$G$49,MATCH(orders!$D895,products!$A$1:$A$49,0),MATCH(orders!L$1,products!$A$1:$G$1,0))</f>
        <v>9.51</v>
      </c>
      <c r="M89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_xlfn.XLOOKUP(C895,customers!$A$2:$A$1001,customers!$I$2:$I$1001,,0)</f>
        <v>Yes</v>
      </c>
    </row>
    <row r="896" spans="1:16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>
        <f>_xlfn.XLOOKUP(C896,customers!$A$1:$A$1001,customers!$C$1:$C$1001,,0)</f>
        <v>0</v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>
        <f>INDEX(products!$A$1:$G$49,MATCH(orders!$D896,products!$A$1:$A$49,0),MATCH(orders!K$1,products!$A$1:$G$1,0))</f>
        <v>2.5</v>
      </c>
      <c r="L896">
        <f>INDEX(products!$A$1:$G$49,MATCH(orders!$D896,products!$A$1:$A$49,0),MATCH(orders!L$1,products!$A$1:$G$1,0))</f>
        <v>20.584999999999997</v>
      </c>
      <c r="M896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_xlfn.XLOOKUP(C896,customers!$A$2:$A$1001,customers!$I$2:$I$1001,,0)</f>
        <v>Yes</v>
      </c>
    </row>
    <row r="897" spans="1:16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>
        <f>_xlfn.XLOOKUP(C897,customers!$A$1:$A$1001,customers!$C$1:$C$1001,,0)</f>
        <v>0</v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>
        <f>INDEX(products!$A$1:$G$49,MATCH(orders!$D897,products!$A$1:$A$49,0),MATCH(orders!K$1,products!$A$1:$G$1,0))</f>
        <v>2.5</v>
      </c>
      <c r="L897">
        <f>INDEX(products!$A$1:$G$49,MATCH(orders!$D897,products!$A$1:$A$49,0),MATCH(orders!L$1,products!$A$1:$G$1,0))</f>
        <v>31.624999999999996</v>
      </c>
      <c r="M897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_xlfn.XLOOKUP(C897,customers!$A$2:$A$1001,customers!$I$2:$I$1001,,0)</f>
        <v>No</v>
      </c>
    </row>
    <row r="898" spans="1:16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_xlfn.XLOOKUP(C898,customers!$A$1:$A$1001,customers!$C$1:$C$1001,,0)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>
        <f>INDEX(products!$A$1:$G$49,MATCH(orders!$D898,products!$A$1:$A$49,0),MATCH(orders!K$1,products!$A$1:$G$1,0))</f>
        <v>0.5</v>
      </c>
      <c r="L898">
        <f>INDEX(products!$A$1:$G$49,MATCH(orders!$D898,products!$A$1:$A$49,0),MATCH(orders!L$1,products!$A$1:$G$1,0))</f>
        <v>5.3699999999999992</v>
      </c>
      <c r="M898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_xlfn.XLOOKUP(C898,customers!$A$2:$A$1001,customers!$I$2:$I$1001,,0)</f>
        <v>Yes</v>
      </c>
    </row>
    <row r="899" spans="1:16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_xlfn.XLOOKUP(C899,customers!$A$1:$A$1001,customers!$C$1:$C$1001,,0)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>
        <f>INDEX(products!$A$1:$G$49,MATCH(orders!$D899,products!$A$1:$A$49,0),MATCH(orders!K$1,products!$A$1:$G$1,0))</f>
        <v>1</v>
      </c>
      <c r="L899">
        <f>INDEX(products!$A$1:$G$49,MATCH(orders!$D899,products!$A$1:$A$49,0),MATCH(orders!L$1,products!$A$1:$G$1,0))</f>
        <v>12.15</v>
      </c>
      <c r="M899">
        <f t="shared" ref="M899:M962" si="42">L899*E899</f>
        <v>24.3</v>
      </c>
      <c r="N899" t="str">
        <f t="shared" ref="N899:N962" si="43">IF(I899="Rob","Robusta",IF(I899="Exc","Excelsa",IF(I899="Lib","Liberica",IF(I899="Ara","Arabica"))))</f>
        <v>Excelsa</v>
      </c>
      <c r="O899" t="str">
        <f t="shared" si="41"/>
        <v>Dark</v>
      </c>
      <c r="P899" t="str">
        <f>_xlfn.XLOOKUP(C899,customers!$A$2:$A$1001,customers!$I$2:$I$1001,,0)</f>
        <v>No</v>
      </c>
    </row>
    <row r="900" spans="1:16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>
        <f>_xlfn.XLOOKUP(C900,customers!$A$1:$A$1001,customers!$C$1:$C$1001,,0)</f>
        <v>0</v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>
        <f>INDEX(products!$A$1:$G$49,MATCH(orders!$D900,products!$A$1:$A$49,0),MATCH(orders!K$1,products!$A$1:$G$1,0))</f>
        <v>0.5</v>
      </c>
      <c r="L900">
        <f>INDEX(products!$A$1:$G$49,MATCH(orders!$D900,products!$A$1:$A$49,0),MATCH(orders!L$1,products!$A$1:$G$1,0))</f>
        <v>7.169999999999999</v>
      </c>
      <c r="M900">
        <f t="shared" si="42"/>
        <v>35.849999999999994</v>
      </c>
      <c r="N900" t="str">
        <f t="shared" si="43"/>
        <v>Robusta</v>
      </c>
      <c r="O900" t="str">
        <f t="shared" si="41"/>
        <v>Light</v>
      </c>
      <c r="P900" t="str">
        <f>_xlfn.XLOOKUP(C900,customers!$A$2:$A$1001,customers!$I$2:$I$1001,,0)</f>
        <v>No</v>
      </c>
    </row>
    <row r="901" spans="1:16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>
        <f>_xlfn.XLOOKUP(C901,customers!$A$1:$A$1001,customers!$C$1:$C$1001,,0)</f>
        <v>0</v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>
        <f>INDEX(products!$A$1:$G$49,MATCH(orders!$D901,products!$A$1:$A$49,0),MATCH(orders!K$1,products!$A$1:$G$1,0))</f>
        <v>1</v>
      </c>
      <c r="L901">
        <f>INDEX(products!$A$1:$G$49,MATCH(orders!$D901,products!$A$1:$A$49,0),MATCH(orders!L$1,products!$A$1:$G$1,0))</f>
        <v>14.55</v>
      </c>
      <c r="M901">
        <f t="shared" si="42"/>
        <v>72.75</v>
      </c>
      <c r="N901" t="str">
        <f t="shared" si="43"/>
        <v>Liberica</v>
      </c>
      <c r="O901" t="str">
        <f t="shared" ref="O901:O964" si="44">IF(J901="L","Light",IF(J901="M","Medium",IF(J901="D","Dark")))</f>
        <v>Medium</v>
      </c>
      <c r="P901" t="str">
        <f>_xlfn.XLOOKUP(C901,customers!$A$2:$A$1001,customers!$I$2:$I$1001,,0)</f>
        <v>No</v>
      </c>
    </row>
    <row r="902" spans="1:16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>
        <f>_xlfn.XLOOKUP(C902,customers!$A$1:$A$1001,customers!$C$1:$C$1001,,0)</f>
        <v>0</v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>
        <f>INDEX(products!$A$1:$G$49,MATCH(orders!$D902,products!$A$1:$A$49,0),MATCH(orders!K$1,products!$A$1:$G$1,0))</f>
        <v>1</v>
      </c>
      <c r="L902">
        <f>INDEX(products!$A$1:$G$49,MATCH(orders!$D902,products!$A$1:$A$49,0),MATCH(orders!L$1,products!$A$1:$G$1,0))</f>
        <v>15.85</v>
      </c>
      <c r="M902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_xlfn.XLOOKUP(C902,customers!$A$2:$A$1001,customers!$I$2:$I$1001,,0)</f>
        <v>No</v>
      </c>
    </row>
    <row r="903" spans="1:16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_xlfn.XLOOKUP(C903,customers!$A$1:$A$1001,customers!$C$1:$C$1001,,0)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>
        <f>INDEX(products!$A$1:$G$49,MATCH(orders!$D903,products!$A$1:$A$49,0),MATCH(orders!K$1,products!$A$1:$G$1,0))</f>
        <v>0.2</v>
      </c>
      <c r="L903">
        <f>INDEX(products!$A$1:$G$49,MATCH(orders!$D903,products!$A$1:$A$49,0),MATCH(orders!L$1,products!$A$1:$G$1,0))</f>
        <v>3.5849999999999995</v>
      </c>
      <c r="M903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_xlfn.XLOOKUP(C903,customers!$A$2:$A$1001,customers!$I$2:$I$1001,,0)</f>
        <v>Yes</v>
      </c>
    </row>
    <row r="904" spans="1:16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_xlfn.XLOOKUP(C904,customers!$A$1:$A$1001,customers!$C$1:$C$1001,,0)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>
        <f>INDEX(products!$A$1:$G$49,MATCH(orders!$D904,products!$A$1:$A$49,0),MATCH(orders!K$1,products!$A$1:$G$1,0))</f>
        <v>2.5</v>
      </c>
      <c r="L904">
        <f>INDEX(products!$A$1:$G$49,MATCH(orders!$D904,products!$A$1:$A$49,0),MATCH(orders!L$1,products!$A$1:$G$1,0))</f>
        <v>31.624999999999996</v>
      </c>
      <c r="M904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_xlfn.XLOOKUP(C904,customers!$A$2:$A$1001,customers!$I$2:$I$1001,,0)</f>
        <v>No</v>
      </c>
    </row>
    <row r="905" spans="1:16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_xlfn.XLOOKUP(C905,customers!$A$1:$A$1001,customers!$C$1:$C$1001,,0)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>
        <f>INDEX(products!$A$1:$G$49,MATCH(orders!$D905,products!$A$1:$A$49,0),MATCH(orders!K$1,products!$A$1:$G$1,0))</f>
        <v>0.5</v>
      </c>
      <c r="L905">
        <f>INDEX(products!$A$1:$G$49,MATCH(orders!$D905,products!$A$1:$A$49,0),MATCH(orders!L$1,products!$A$1:$G$1,0))</f>
        <v>8.73</v>
      </c>
      <c r="M90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_xlfn.XLOOKUP(C905,customers!$A$2:$A$1001,customers!$I$2:$I$1001,,0)</f>
        <v>No</v>
      </c>
    </row>
    <row r="906" spans="1:16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_xlfn.XLOOKUP(C906,customers!$A$1:$A$1001,customers!$C$1:$C$1001,,0)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>
        <f>INDEX(products!$A$1:$G$49,MATCH(orders!$D906,products!$A$1:$A$49,0),MATCH(orders!K$1,products!$A$1:$G$1,0))</f>
        <v>2.5</v>
      </c>
      <c r="L906">
        <f>INDEX(products!$A$1:$G$49,MATCH(orders!$D906,products!$A$1:$A$49,0),MATCH(orders!L$1,products!$A$1:$G$1,0))</f>
        <v>29.784999999999997</v>
      </c>
      <c r="M906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_xlfn.XLOOKUP(C906,customers!$A$2:$A$1001,customers!$I$2:$I$1001,,0)</f>
        <v>No</v>
      </c>
    </row>
    <row r="907" spans="1:16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>
        <f>_xlfn.XLOOKUP(C907,customers!$A$1:$A$1001,customers!$C$1:$C$1001,,0)</f>
        <v>0</v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>
        <f>INDEX(products!$A$1:$G$49,MATCH(orders!$D907,products!$A$1:$A$49,0),MATCH(orders!K$1,products!$A$1:$G$1,0))</f>
        <v>0.5</v>
      </c>
      <c r="L907">
        <f>INDEX(products!$A$1:$G$49,MATCH(orders!$D907,products!$A$1:$A$49,0),MATCH(orders!L$1,products!$A$1:$G$1,0))</f>
        <v>6.75</v>
      </c>
      <c r="M907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_xlfn.XLOOKUP(C907,customers!$A$2:$A$1001,customers!$I$2:$I$1001,,0)</f>
        <v>Yes</v>
      </c>
    </row>
    <row r="908" spans="1:16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_xlfn.XLOOKUP(C908,customers!$A$1:$A$1001,customers!$C$1:$C$1001,,0)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>
        <f>INDEX(products!$A$1:$G$49,MATCH(orders!$D908,products!$A$1:$A$49,0),MATCH(orders!K$1,products!$A$1:$G$1,0))</f>
        <v>0.5</v>
      </c>
      <c r="L908">
        <f>INDEX(products!$A$1:$G$49,MATCH(orders!$D908,products!$A$1:$A$49,0),MATCH(orders!L$1,products!$A$1:$G$1,0))</f>
        <v>6.75</v>
      </c>
      <c r="M908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_xlfn.XLOOKUP(C908,customers!$A$2:$A$1001,customers!$I$2:$I$1001,,0)</f>
        <v>Yes</v>
      </c>
    </row>
    <row r="909" spans="1:16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_xlfn.XLOOKUP(C909,customers!$A$1:$A$1001,customers!$C$1:$C$1001,,0)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>
        <f>INDEX(products!$A$1:$G$49,MATCH(orders!$D909,products!$A$1:$A$49,0),MATCH(orders!K$1,products!$A$1:$G$1,0))</f>
        <v>1</v>
      </c>
      <c r="L909">
        <f>INDEX(products!$A$1:$G$49,MATCH(orders!$D909,products!$A$1:$A$49,0),MATCH(orders!L$1,products!$A$1:$G$1,0))</f>
        <v>12.95</v>
      </c>
      <c r="M909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_xlfn.XLOOKUP(C909,customers!$A$2:$A$1001,customers!$I$2:$I$1001,,0)</f>
        <v>No</v>
      </c>
    </row>
    <row r="910" spans="1:16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_xlfn.XLOOKUP(C910,customers!$A$1:$A$1001,customers!$C$1:$C$1001,,0)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>
        <f>INDEX(products!$A$1:$G$49,MATCH(orders!$D910,products!$A$1:$A$49,0),MATCH(orders!K$1,products!$A$1:$G$1,0))</f>
        <v>1</v>
      </c>
      <c r="L910">
        <f>INDEX(products!$A$1:$G$49,MATCH(orders!$D910,products!$A$1:$A$49,0),MATCH(orders!L$1,products!$A$1:$G$1,0))</f>
        <v>11.95</v>
      </c>
      <c r="M910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_xlfn.XLOOKUP(C910,customers!$A$2:$A$1001,customers!$I$2:$I$1001,,0)</f>
        <v>No</v>
      </c>
    </row>
    <row r="911" spans="1:16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>
        <f>_xlfn.XLOOKUP(C911,customers!$A$1:$A$1001,customers!$C$1:$C$1001,,0)</f>
        <v>0</v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>
        <f>INDEX(products!$A$1:$G$49,MATCH(orders!$D911,products!$A$1:$A$49,0),MATCH(orders!K$1,products!$A$1:$G$1,0))</f>
        <v>0.2</v>
      </c>
      <c r="L911">
        <f>INDEX(products!$A$1:$G$49,MATCH(orders!$D911,products!$A$1:$A$49,0),MATCH(orders!L$1,products!$A$1:$G$1,0))</f>
        <v>3.5849999999999995</v>
      </c>
      <c r="M911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_xlfn.XLOOKUP(C911,customers!$A$2:$A$1001,customers!$I$2:$I$1001,,0)</f>
        <v>No</v>
      </c>
    </row>
    <row r="912" spans="1:16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_xlfn.XLOOKUP(C912,customers!$A$1:$A$1001,customers!$C$1:$C$1001,,0)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>
        <f>INDEX(products!$A$1:$G$49,MATCH(orders!$D912,products!$A$1:$A$49,0),MATCH(orders!K$1,products!$A$1:$G$1,0))</f>
        <v>2.5</v>
      </c>
      <c r="L912">
        <f>INDEX(products!$A$1:$G$49,MATCH(orders!$D912,products!$A$1:$A$49,0),MATCH(orders!L$1,products!$A$1:$G$1,0))</f>
        <v>22.884999999999998</v>
      </c>
      <c r="M912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_xlfn.XLOOKUP(C912,customers!$A$2:$A$1001,customers!$I$2:$I$1001,,0)</f>
        <v>No</v>
      </c>
    </row>
    <row r="913" spans="1:16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_xlfn.XLOOKUP(C913,customers!$A$1:$A$1001,customers!$C$1:$C$1001,,0)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>
        <f>INDEX(products!$A$1:$G$49,MATCH(orders!$D913,products!$A$1:$A$49,0),MATCH(orders!K$1,products!$A$1:$G$1,0))</f>
        <v>1</v>
      </c>
      <c r="L913">
        <f>INDEX(products!$A$1:$G$49,MATCH(orders!$D913,products!$A$1:$A$49,0),MATCH(orders!L$1,products!$A$1:$G$1,0))</f>
        <v>11.25</v>
      </c>
      <c r="M913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_xlfn.XLOOKUP(C913,customers!$A$2:$A$1001,customers!$I$2:$I$1001,,0)</f>
        <v>Yes</v>
      </c>
    </row>
    <row r="914" spans="1:16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>
        <f>_xlfn.XLOOKUP(C914,customers!$A$1:$A$1001,customers!$C$1:$C$1001,,0)</f>
        <v>0</v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>
        <f>INDEX(products!$A$1:$G$49,MATCH(orders!$D914,products!$A$1:$A$49,0),MATCH(orders!K$1,products!$A$1:$G$1,0))</f>
        <v>2.5</v>
      </c>
      <c r="L914">
        <f>INDEX(products!$A$1:$G$49,MATCH(orders!$D914,products!$A$1:$A$49,0),MATCH(orders!L$1,products!$A$1:$G$1,0))</f>
        <v>22.884999999999998</v>
      </c>
      <c r="M914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_xlfn.XLOOKUP(C914,customers!$A$2:$A$1001,customers!$I$2:$I$1001,,0)</f>
        <v>Yes</v>
      </c>
    </row>
    <row r="915" spans="1:16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_xlfn.XLOOKUP(C915,customers!$A$1:$A$1001,customers!$C$1:$C$1001,,0)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>
        <f>INDEX(products!$A$1:$G$49,MATCH(orders!$D915,products!$A$1:$A$49,0),MATCH(orders!K$1,products!$A$1:$G$1,0))</f>
        <v>0.5</v>
      </c>
      <c r="L915">
        <f>INDEX(products!$A$1:$G$49,MATCH(orders!$D915,products!$A$1:$A$49,0),MATCH(orders!L$1,products!$A$1:$G$1,0))</f>
        <v>6.75</v>
      </c>
      <c r="M91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_xlfn.XLOOKUP(C915,customers!$A$2:$A$1001,customers!$I$2:$I$1001,,0)</f>
        <v>No</v>
      </c>
    </row>
    <row r="916" spans="1:16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_xlfn.XLOOKUP(C916,customers!$A$1:$A$1001,customers!$C$1:$C$1001,,0)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>
        <f>INDEX(products!$A$1:$G$49,MATCH(orders!$D916,products!$A$1:$A$49,0),MATCH(orders!K$1,products!$A$1:$G$1,0))</f>
        <v>1</v>
      </c>
      <c r="L916">
        <f>INDEX(products!$A$1:$G$49,MATCH(orders!$D916,products!$A$1:$A$49,0),MATCH(orders!L$1,products!$A$1:$G$1,0))</f>
        <v>11.25</v>
      </c>
      <c r="M916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_xlfn.XLOOKUP(C916,customers!$A$2:$A$1001,customers!$I$2:$I$1001,,0)</f>
        <v>No</v>
      </c>
    </row>
    <row r="917" spans="1:16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_xlfn.XLOOKUP(C917,customers!$A$1:$A$1001,customers!$C$1:$C$1001,,0)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>
        <f>INDEX(products!$A$1:$G$49,MATCH(orders!$D917,products!$A$1:$A$49,0),MATCH(orders!K$1,products!$A$1:$G$1,0))</f>
        <v>2.5</v>
      </c>
      <c r="L917">
        <f>INDEX(products!$A$1:$G$49,MATCH(orders!$D917,products!$A$1:$A$49,0),MATCH(orders!L$1,products!$A$1:$G$1,0))</f>
        <v>27.945</v>
      </c>
      <c r="M917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_xlfn.XLOOKUP(C917,customers!$A$2:$A$1001,customers!$I$2:$I$1001,,0)</f>
        <v>Yes</v>
      </c>
    </row>
    <row r="918" spans="1:16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>
        <f>_xlfn.XLOOKUP(C918,customers!$A$1:$A$1001,customers!$C$1:$C$1001,,0)</f>
        <v>0</v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>
        <f>INDEX(products!$A$1:$G$49,MATCH(orders!$D918,products!$A$1:$A$49,0),MATCH(orders!K$1,products!$A$1:$G$1,0))</f>
        <v>0.2</v>
      </c>
      <c r="L918">
        <f>INDEX(products!$A$1:$G$49,MATCH(orders!$D918,products!$A$1:$A$49,0),MATCH(orders!L$1,products!$A$1:$G$1,0))</f>
        <v>3.645</v>
      </c>
      <c r="M918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_xlfn.XLOOKUP(C918,customers!$A$2:$A$1001,customers!$I$2:$I$1001,,0)</f>
        <v>Yes</v>
      </c>
    </row>
    <row r="919" spans="1:16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_xlfn.XLOOKUP(C919,customers!$A$1:$A$1001,customers!$C$1:$C$1001,,0)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>
        <f>INDEX(products!$A$1:$G$49,MATCH(orders!$D919,products!$A$1:$A$49,0),MATCH(orders!K$1,products!$A$1:$G$1,0))</f>
        <v>0.5</v>
      </c>
      <c r="L919">
        <f>INDEX(products!$A$1:$G$49,MATCH(orders!$D919,products!$A$1:$A$49,0),MATCH(orders!L$1,products!$A$1:$G$1,0))</f>
        <v>6.75</v>
      </c>
      <c r="M919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_xlfn.XLOOKUP(C919,customers!$A$2:$A$1001,customers!$I$2:$I$1001,,0)</f>
        <v>No</v>
      </c>
    </row>
    <row r="920" spans="1:16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_xlfn.XLOOKUP(C920,customers!$A$1:$A$1001,customers!$C$1:$C$1001,,0)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>
        <f>INDEX(products!$A$1:$G$49,MATCH(orders!$D920,products!$A$1:$A$49,0),MATCH(orders!K$1,products!$A$1:$G$1,0))</f>
        <v>0.5</v>
      </c>
      <c r="L920">
        <f>INDEX(products!$A$1:$G$49,MATCH(orders!$D920,products!$A$1:$A$49,0),MATCH(orders!L$1,products!$A$1:$G$1,0))</f>
        <v>7.29</v>
      </c>
      <c r="M920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_xlfn.XLOOKUP(C920,customers!$A$2:$A$1001,customers!$I$2:$I$1001,,0)</f>
        <v>No</v>
      </c>
    </row>
    <row r="921" spans="1:16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_xlfn.XLOOKUP(C921,customers!$A$1:$A$1001,customers!$C$1:$C$1001,,0)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>
        <f>INDEX(products!$A$1:$G$49,MATCH(orders!$D921,products!$A$1:$A$49,0),MATCH(orders!K$1,products!$A$1:$G$1,0))</f>
        <v>0.2</v>
      </c>
      <c r="L921">
        <f>INDEX(products!$A$1:$G$49,MATCH(orders!$D921,products!$A$1:$A$49,0),MATCH(orders!L$1,products!$A$1:$G$1,0))</f>
        <v>2.6849999999999996</v>
      </c>
      <c r="M921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_xlfn.XLOOKUP(C921,customers!$A$2:$A$1001,customers!$I$2:$I$1001,,0)</f>
        <v>Yes</v>
      </c>
    </row>
    <row r="922" spans="1:16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_xlfn.XLOOKUP(C922,customers!$A$1:$A$1001,customers!$C$1:$C$1001,,0)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>
        <f>INDEX(products!$A$1:$G$49,MATCH(orders!$D922,products!$A$1:$A$49,0),MATCH(orders!K$1,products!$A$1:$G$1,0))</f>
        <v>2.5</v>
      </c>
      <c r="L922">
        <f>INDEX(products!$A$1:$G$49,MATCH(orders!$D922,products!$A$1:$A$49,0),MATCH(orders!L$1,products!$A$1:$G$1,0))</f>
        <v>20.584999999999997</v>
      </c>
      <c r="M922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_xlfn.XLOOKUP(C922,customers!$A$2:$A$1001,customers!$I$2:$I$1001,,0)</f>
        <v>No</v>
      </c>
    </row>
    <row r="923" spans="1:16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_xlfn.XLOOKUP(C923,customers!$A$1:$A$1001,customers!$C$1:$C$1001,,0)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>
        <f>INDEX(products!$A$1:$G$49,MATCH(orders!$D923,products!$A$1:$A$49,0),MATCH(orders!K$1,products!$A$1:$G$1,0))</f>
        <v>0.2</v>
      </c>
      <c r="L923">
        <f>INDEX(products!$A$1:$G$49,MATCH(orders!$D923,products!$A$1:$A$49,0),MATCH(orders!L$1,products!$A$1:$G$1,0))</f>
        <v>3.8849999999999998</v>
      </c>
      <c r="M923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_xlfn.XLOOKUP(C923,customers!$A$2:$A$1001,customers!$I$2:$I$1001,,0)</f>
        <v>No</v>
      </c>
    </row>
    <row r="924" spans="1:16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>
        <f>_xlfn.XLOOKUP(C924,customers!$A$1:$A$1001,customers!$C$1:$C$1001,,0)</f>
        <v>0</v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>
        <f>INDEX(products!$A$1:$G$49,MATCH(orders!$D924,products!$A$1:$A$49,0),MATCH(orders!K$1,products!$A$1:$G$1,0))</f>
        <v>1</v>
      </c>
      <c r="L924">
        <f>INDEX(products!$A$1:$G$49,MATCH(orders!$D924,products!$A$1:$A$49,0),MATCH(orders!L$1,products!$A$1:$G$1,0))</f>
        <v>11.25</v>
      </c>
      <c r="M924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_xlfn.XLOOKUP(C924,customers!$A$2:$A$1001,customers!$I$2:$I$1001,,0)</f>
        <v>Yes</v>
      </c>
    </row>
    <row r="925" spans="1:16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_xlfn.XLOOKUP(C925,customers!$A$1:$A$1001,customers!$C$1:$C$1001,,0)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>
        <f>INDEX(products!$A$1:$G$49,MATCH(orders!$D925,products!$A$1:$A$49,0),MATCH(orders!K$1,products!$A$1:$G$1,0))</f>
        <v>2.5</v>
      </c>
      <c r="L925">
        <f>INDEX(products!$A$1:$G$49,MATCH(orders!$D925,products!$A$1:$A$49,0),MATCH(orders!L$1,products!$A$1:$G$1,0))</f>
        <v>27.945</v>
      </c>
      <c r="M92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_xlfn.XLOOKUP(C925,customers!$A$2:$A$1001,customers!$I$2:$I$1001,,0)</f>
        <v>No</v>
      </c>
    </row>
    <row r="926" spans="1:16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_xlfn.XLOOKUP(C926,customers!$A$1:$A$1001,customers!$C$1:$C$1001,,0)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>
        <f>INDEX(products!$A$1:$G$49,MATCH(orders!$D926,products!$A$1:$A$49,0),MATCH(orders!K$1,products!$A$1:$G$1,0))</f>
        <v>2.5</v>
      </c>
      <c r="L926">
        <f>INDEX(products!$A$1:$G$49,MATCH(orders!$D926,products!$A$1:$A$49,0),MATCH(orders!L$1,products!$A$1:$G$1,0))</f>
        <v>29.784999999999997</v>
      </c>
      <c r="M926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_xlfn.XLOOKUP(C926,customers!$A$2:$A$1001,customers!$I$2:$I$1001,,0)</f>
        <v>No</v>
      </c>
    </row>
    <row r="927" spans="1:16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>
        <f>_xlfn.XLOOKUP(C927,customers!$A$1:$A$1001,customers!$C$1:$C$1001,,0)</f>
        <v>0</v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>
        <f>INDEX(products!$A$1:$G$49,MATCH(orders!$D927,products!$A$1:$A$49,0),MATCH(orders!K$1,products!$A$1:$G$1,0))</f>
        <v>0.5</v>
      </c>
      <c r="L927">
        <f>INDEX(products!$A$1:$G$49,MATCH(orders!$D927,products!$A$1:$A$49,0),MATCH(orders!L$1,products!$A$1:$G$1,0))</f>
        <v>6.75</v>
      </c>
      <c r="M927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_xlfn.XLOOKUP(C927,customers!$A$2:$A$1001,customers!$I$2:$I$1001,,0)</f>
        <v>No</v>
      </c>
    </row>
    <row r="928" spans="1:16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_xlfn.XLOOKUP(C928,customers!$A$1:$A$1001,customers!$C$1:$C$1001,,0)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>
        <f>INDEX(products!$A$1:$G$49,MATCH(orders!$D928,products!$A$1:$A$49,0),MATCH(orders!K$1,products!$A$1:$G$1,0))</f>
        <v>0.5</v>
      </c>
      <c r="L928">
        <f>INDEX(products!$A$1:$G$49,MATCH(orders!$D928,products!$A$1:$A$49,0),MATCH(orders!L$1,products!$A$1:$G$1,0))</f>
        <v>6.75</v>
      </c>
      <c r="M928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_xlfn.XLOOKUP(C928,customers!$A$2:$A$1001,customers!$I$2:$I$1001,,0)</f>
        <v>Yes</v>
      </c>
    </row>
    <row r="929" spans="1:16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_xlfn.XLOOKUP(C929,customers!$A$1:$A$1001,customers!$C$1:$C$1001,,0)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>
        <f>INDEX(products!$A$1:$G$49,MATCH(orders!$D929,products!$A$1:$A$49,0),MATCH(orders!K$1,products!$A$1:$G$1,0))</f>
        <v>2.5</v>
      </c>
      <c r="L929">
        <f>INDEX(products!$A$1:$G$49,MATCH(orders!$D929,products!$A$1:$A$49,0),MATCH(orders!L$1,products!$A$1:$G$1,0))</f>
        <v>27.945</v>
      </c>
      <c r="M929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_xlfn.XLOOKUP(C929,customers!$A$2:$A$1001,customers!$I$2:$I$1001,,0)</f>
        <v>No</v>
      </c>
    </row>
    <row r="930" spans="1:16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_xlfn.XLOOKUP(C930,customers!$A$1:$A$1001,customers!$C$1:$C$1001,,0)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>
        <f>INDEX(products!$A$1:$G$49,MATCH(orders!$D930,products!$A$1:$A$49,0),MATCH(orders!K$1,products!$A$1:$G$1,0))</f>
        <v>2.5</v>
      </c>
      <c r="L930">
        <f>INDEX(products!$A$1:$G$49,MATCH(orders!$D930,products!$A$1:$A$49,0),MATCH(orders!L$1,products!$A$1:$G$1,0))</f>
        <v>31.624999999999996</v>
      </c>
      <c r="M930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_xlfn.XLOOKUP(C930,customers!$A$2:$A$1001,customers!$I$2:$I$1001,,0)</f>
        <v>Yes</v>
      </c>
    </row>
    <row r="931" spans="1:16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_xlfn.XLOOKUP(C931,customers!$A$1:$A$1001,customers!$C$1:$C$1001,,0)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>
        <f>INDEX(products!$A$1:$G$49,MATCH(orders!$D931,products!$A$1:$A$49,0),MATCH(orders!K$1,products!$A$1:$G$1,0))</f>
        <v>0.2</v>
      </c>
      <c r="L931">
        <f>INDEX(products!$A$1:$G$49,MATCH(orders!$D931,products!$A$1:$A$49,0),MATCH(orders!L$1,products!$A$1:$G$1,0))</f>
        <v>4.4550000000000001</v>
      </c>
      <c r="M931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_xlfn.XLOOKUP(C931,customers!$A$2:$A$1001,customers!$I$2:$I$1001,,0)</f>
        <v>Yes</v>
      </c>
    </row>
    <row r="932" spans="1:16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_xlfn.XLOOKUP(C932,customers!$A$1:$A$1001,customers!$C$1:$C$1001,,0)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>
        <f>INDEX(products!$A$1:$G$49,MATCH(orders!$D932,products!$A$1:$A$49,0),MATCH(orders!K$1,products!$A$1:$G$1,0))</f>
        <v>1</v>
      </c>
      <c r="L932">
        <f>INDEX(products!$A$1:$G$49,MATCH(orders!$D932,products!$A$1:$A$49,0),MATCH(orders!L$1,products!$A$1:$G$1,0))</f>
        <v>12.15</v>
      </c>
      <c r="M932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_xlfn.XLOOKUP(C932,customers!$A$2:$A$1001,customers!$I$2:$I$1001,,0)</f>
        <v>Yes</v>
      </c>
    </row>
    <row r="933" spans="1:16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>
        <f>_xlfn.XLOOKUP(C933,customers!$A$1:$A$1001,customers!$C$1:$C$1001,,0)</f>
        <v>0</v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>
        <f>INDEX(products!$A$1:$G$49,MATCH(orders!$D933,products!$A$1:$A$49,0),MATCH(orders!K$1,products!$A$1:$G$1,0))</f>
        <v>0.5</v>
      </c>
      <c r="L933">
        <f>INDEX(products!$A$1:$G$49,MATCH(orders!$D933,products!$A$1:$A$49,0),MATCH(orders!L$1,products!$A$1:$G$1,0))</f>
        <v>5.97</v>
      </c>
      <c r="M933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_xlfn.XLOOKUP(C933,customers!$A$2:$A$1001,customers!$I$2:$I$1001,,0)</f>
        <v>Yes</v>
      </c>
    </row>
    <row r="934" spans="1:16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_xlfn.XLOOKUP(C934,customers!$A$1:$A$1001,customers!$C$1:$C$1001,,0)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>
        <f>INDEX(products!$A$1:$G$49,MATCH(orders!$D934,products!$A$1:$A$49,0),MATCH(orders!K$1,products!$A$1:$G$1,0))</f>
        <v>1</v>
      </c>
      <c r="L934">
        <f>INDEX(products!$A$1:$G$49,MATCH(orders!$D934,products!$A$1:$A$49,0),MATCH(orders!L$1,products!$A$1:$G$1,0))</f>
        <v>13.75</v>
      </c>
      <c r="M934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_xlfn.XLOOKUP(C934,customers!$A$2:$A$1001,customers!$I$2:$I$1001,,0)</f>
        <v>No</v>
      </c>
    </row>
    <row r="935" spans="1:16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>
        <f>_xlfn.XLOOKUP(C935,customers!$A$1:$A$1001,customers!$C$1:$C$1001,,0)</f>
        <v>0</v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>
        <f>INDEX(products!$A$1:$G$49,MATCH(orders!$D935,products!$A$1:$A$49,0),MATCH(orders!K$1,products!$A$1:$G$1,0))</f>
        <v>1</v>
      </c>
      <c r="L935">
        <f>INDEX(products!$A$1:$G$49,MATCH(orders!$D935,products!$A$1:$A$49,0),MATCH(orders!L$1,products!$A$1:$G$1,0))</f>
        <v>8.9499999999999993</v>
      </c>
      <c r="M93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_xlfn.XLOOKUP(C935,customers!$A$2:$A$1001,customers!$I$2:$I$1001,,0)</f>
        <v>Yes</v>
      </c>
    </row>
    <row r="936" spans="1:16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_xlfn.XLOOKUP(C936,customers!$A$1:$A$1001,customers!$C$1:$C$1001,,0)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>
        <f>INDEX(products!$A$1:$G$49,MATCH(orders!$D936,products!$A$1:$A$49,0),MATCH(orders!K$1,products!$A$1:$G$1,0))</f>
        <v>2.5</v>
      </c>
      <c r="L936">
        <f>INDEX(products!$A$1:$G$49,MATCH(orders!$D936,products!$A$1:$A$49,0),MATCH(orders!L$1,products!$A$1:$G$1,0))</f>
        <v>22.884999999999998</v>
      </c>
      <c r="M936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_xlfn.XLOOKUP(C936,customers!$A$2:$A$1001,customers!$I$2:$I$1001,,0)</f>
        <v>No</v>
      </c>
    </row>
    <row r="937" spans="1:16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_xlfn.XLOOKUP(C937,customers!$A$1:$A$1001,customers!$C$1:$C$1001,,0)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>
        <f>INDEX(products!$A$1:$G$49,MATCH(orders!$D937,products!$A$1:$A$49,0),MATCH(orders!K$1,products!$A$1:$G$1,0))</f>
        <v>2.5</v>
      </c>
      <c r="L937">
        <f>INDEX(products!$A$1:$G$49,MATCH(orders!$D937,products!$A$1:$A$49,0),MATCH(orders!L$1,products!$A$1:$G$1,0))</f>
        <v>25.874999999999996</v>
      </c>
      <c r="M937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_xlfn.XLOOKUP(C937,customers!$A$2:$A$1001,customers!$I$2:$I$1001,,0)</f>
        <v>Yes</v>
      </c>
    </row>
    <row r="938" spans="1:16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_xlfn.XLOOKUP(C938,customers!$A$1:$A$1001,customers!$C$1:$C$1001,,0)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>
        <f>INDEX(products!$A$1:$G$49,MATCH(orders!$D938,products!$A$1:$A$49,0),MATCH(orders!K$1,products!$A$1:$G$1,0))</f>
        <v>0.5</v>
      </c>
      <c r="L938">
        <f>INDEX(products!$A$1:$G$49,MATCH(orders!$D938,products!$A$1:$A$49,0),MATCH(orders!L$1,products!$A$1:$G$1,0))</f>
        <v>7.77</v>
      </c>
      <c r="M938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_xlfn.XLOOKUP(C938,customers!$A$2:$A$1001,customers!$I$2:$I$1001,,0)</f>
        <v>Yes</v>
      </c>
    </row>
    <row r="939" spans="1:16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_xlfn.XLOOKUP(C939,customers!$A$1:$A$1001,customers!$C$1:$C$1001,,0)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>
        <f>INDEX(products!$A$1:$G$49,MATCH(orders!$D939,products!$A$1:$A$49,0),MATCH(orders!K$1,products!$A$1:$G$1,0))</f>
        <v>2.5</v>
      </c>
      <c r="L939">
        <f>INDEX(products!$A$1:$G$49,MATCH(orders!$D939,products!$A$1:$A$49,0),MATCH(orders!L$1,products!$A$1:$G$1,0))</f>
        <v>22.884999999999998</v>
      </c>
      <c r="M939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_xlfn.XLOOKUP(C939,customers!$A$2:$A$1001,customers!$I$2:$I$1001,,0)</f>
        <v>Yes</v>
      </c>
    </row>
    <row r="940" spans="1:16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_xlfn.XLOOKUP(C940,customers!$A$1:$A$1001,customers!$C$1:$C$1001,,0)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>
        <f>INDEX(products!$A$1:$G$49,MATCH(orders!$D940,products!$A$1:$A$49,0),MATCH(orders!K$1,products!$A$1:$G$1,0))</f>
        <v>1</v>
      </c>
      <c r="L940">
        <f>INDEX(products!$A$1:$G$49,MATCH(orders!$D940,products!$A$1:$A$49,0),MATCH(orders!L$1,products!$A$1:$G$1,0))</f>
        <v>14.85</v>
      </c>
      <c r="M940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_xlfn.XLOOKUP(C940,customers!$A$2:$A$1001,customers!$I$2:$I$1001,,0)</f>
        <v>Yes</v>
      </c>
    </row>
    <row r="941" spans="1:16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_xlfn.XLOOKUP(C941,customers!$A$1:$A$1001,customers!$C$1:$C$1001,,0)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>
        <f>INDEX(products!$A$1:$G$49,MATCH(orders!$D941,products!$A$1:$A$49,0),MATCH(orders!K$1,products!$A$1:$G$1,0))</f>
        <v>0.2</v>
      </c>
      <c r="L941">
        <f>INDEX(products!$A$1:$G$49,MATCH(orders!$D941,products!$A$1:$A$49,0),MATCH(orders!L$1,products!$A$1:$G$1,0))</f>
        <v>4.7549999999999999</v>
      </c>
      <c r="M941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_xlfn.XLOOKUP(C941,customers!$A$2:$A$1001,customers!$I$2:$I$1001,,0)</f>
        <v>No</v>
      </c>
    </row>
    <row r="942" spans="1:16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_xlfn.XLOOKUP(C942,customers!$A$1:$A$1001,customers!$C$1:$C$1001,,0)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>
        <f>INDEX(products!$A$1:$G$49,MATCH(orders!$D942,products!$A$1:$A$49,0),MATCH(orders!K$1,products!$A$1:$G$1,0))</f>
        <v>0.5</v>
      </c>
      <c r="L942">
        <f>INDEX(products!$A$1:$G$49,MATCH(orders!$D942,products!$A$1:$A$49,0),MATCH(orders!L$1,products!$A$1:$G$1,0))</f>
        <v>7.169999999999999</v>
      </c>
      <c r="M942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_xlfn.XLOOKUP(C942,customers!$A$2:$A$1001,customers!$I$2:$I$1001,,0)</f>
        <v>Yes</v>
      </c>
    </row>
    <row r="943" spans="1:16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_xlfn.XLOOKUP(C943,customers!$A$1:$A$1001,customers!$C$1:$C$1001,,0)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>
        <f>INDEX(products!$A$1:$G$49,MATCH(orders!$D943,products!$A$1:$A$49,0),MATCH(orders!K$1,products!$A$1:$G$1,0))</f>
        <v>0.5</v>
      </c>
      <c r="L943">
        <f>INDEX(products!$A$1:$G$49,MATCH(orders!$D943,products!$A$1:$A$49,0),MATCH(orders!L$1,products!$A$1:$G$1,0))</f>
        <v>7.77</v>
      </c>
      <c r="M943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_xlfn.XLOOKUP(C943,customers!$A$2:$A$1001,customers!$I$2:$I$1001,,0)</f>
        <v>Yes</v>
      </c>
    </row>
    <row r="944" spans="1:16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_xlfn.XLOOKUP(C944,customers!$A$1:$A$1001,customers!$C$1:$C$1001,,0)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>
        <f>INDEX(products!$A$1:$G$49,MATCH(orders!$D944,products!$A$1:$A$49,0),MATCH(orders!K$1,products!$A$1:$G$1,0))</f>
        <v>1</v>
      </c>
      <c r="L944">
        <f>INDEX(products!$A$1:$G$49,MATCH(orders!$D944,products!$A$1:$A$49,0),MATCH(orders!L$1,products!$A$1:$G$1,0))</f>
        <v>11.95</v>
      </c>
      <c r="M944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_xlfn.XLOOKUP(C944,customers!$A$2:$A$1001,customers!$I$2:$I$1001,,0)</f>
        <v>No</v>
      </c>
    </row>
    <row r="945" spans="1:16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_xlfn.XLOOKUP(C945,customers!$A$1:$A$1001,customers!$C$1:$C$1001,,0)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>
        <f>INDEX(products!$A$1:$G$49,MATCH(orders!$D945,products!$A$1:$A$49,0),MATCH(orders!K$1,products!$A$1:$G$1,0))</f>
        <v>0.5</v>
      </c>
      <c r="L945">
        <f>INDEX(products!$A$1:$G$49,MATCH(orders!$D945,products!$A$1:$A$49,0),MATCH(orders!L$1,products!$A$1:$G$1,0))</f>
        <v>7.77</v>
      </c>
      <c r="M94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_xlfn.XLOOKUP(C945,customers!$A$2:$A$1001,customers!$I$2:$I$1001,,0)</f>
        <v>No</v>
      </c>
    </row>
    <row r="946" spans="1:16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_xlfn.XLOOKUP(C946,customers!$A$1:$A$1001,customers!$C$1:$C$1001,,0)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>
        <f>INDEX(products!$A$1:$G$49,MATCH(orders!$D946,products!$A$1:$A$49,0),MATCH(orders!K$1,products!$A$1:$G$1,0))</f>
        <v>0.5</v>
      </c>
      <c r="L946">
        <f>INDEX(products!$A$1:$G$49,MATCH(orders!$D946,products!$A$1:$A$49,0),MATCH(orders!L$1,products!$A$1:$G$1,0))</f>
        <v>7.169999999999999</v>
      </c>
      <c r="M946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_xlfn.XLOOKUP(C946,customers!$A$2:$A$1001,customers!$I$2:$I$1001,,0)</f>
        <v>No</v>
      </c>
    </row>
    <row r="947" spans="1:16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>
        <f>_xlfn.XLOOKUP(C947,customers!$A$1:$A$1001,customers!$C$1:$C$1001,,0)</f>
        <v>0</v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>
        <f>INDEX(products!$A$1:$G$49,MATCH(orders!$D947,products!$A$1:$A$49,0),MATCH(orders!K$1,products!$A$1:$G$1,0))</f>
        <v>2.5</v>
      </c>
      <c r="L947">
        <f>INDEX(products!$A$1:$G$49,MATCH(orders!$D947,products!$A$1:$A$49,0),MATCH(orders!L$1,products!$A$1:$G$1,0))</f>
        <v>29.784999999999997</v>
      </c>
      <c r="M947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_xlfn.XLOOKUP(C947,customers!$A$2:$A$1001,customers!$I$2:$I$1001,,0)</f>
        <v>No</v>
      </c>
    </row>
    <row r="948" spans="1:16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>
        <f>_xlfn.XLOOKUP(C948,customers!$A$1:$A$1001,customers!$C$1:$C$1001,,0)</f>
        <v>0</v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>
        <f>INDEX(products!$A$1:$G$49,MATCH(orders!$D948,products!$A$1:$A$49,0),MATCH(orders!K$1,products!$A$1:$G$1,0))</f>
        <v>0.5</v>
      </c>
      <c r="L948">
        <f>INDEX(products!$A$1:$G$49,MATCH(orders!$D948,products!$A$1:$A$49,0),MATCH(orders!L$1,products!$A$1:$G$1,0))</f>
        <v>7.77</v>
      </c>
      <c r="M948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_xlfn.XLOOKUP(C948,customers!$A$2:$A$1001,customers!$I$2:$I$1001,,0)</f>
        <v>No</v>
      </c>
    </row>
    <row r="949" spans="1:16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_xlfn.XLOOKUP(C949,customers!$A$1:$A$1001,customers!$C$1:$C$1001,,0)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>
        <f>INDEX(products!$A$1:$G$49,MATCH(orders!$D949,products!$A$1:$A$49,0),MATCH(orders!K$1,products!$A$1:$G$1,0))</f>
        <v>1</v>
      </c>
      <c r="L949">
        <f>INDEX(products!$A$1:$G$49,MATCH(orders!$D949,products!$A$1:$A$49,0),MATCH(orders!L$1,products!$A$1:$G$1,0))</f>
        <v>11.25</v>
      </c>
      <c r="M949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_xlfn.XLOOKUP(C949,customers!$A$2:$A$1001,customers!$I$2:$I$1001,,0)</f>
        <v>No</v>
      </c>
    </row>
    <row r="950" spans="1:16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_xlfn.XLOOKUP(C950,customers!$A$1:$A$1001,customers!$C$1:$C$1001,,0)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>
        <f>INDEX(products!$A$1:$G$49,MATCH(orders!$D950,products!$A$1:$A$49,0),MATCH(orders!K$1,products!$A$1:$G$1,0))</f>
        <v>2.5</v>
      </c>
      <c r="L950">
        <f>INDEX(products!$A$1:$G$49,MATCH(orders!$D950,products!$A$1:$A$49,0),MATCH(orders!L$1,products!$A$1:$G$1,0))</f>
        <v>27.945</v>
      </c>
      <c r="M950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_xlfn.XLOOKUP(C950,customers!$A$2:$A$1001,customers!$I$2:$I$1001,,0)</f>
        <v>Yes</v>
      </c>
    </row>
    <row r="951" spans="1:16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_xlfn.XLOOKUP(C951,customers!$A$1:$A$1001,customers!$C$1:$C$1001,,0)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>
        <f>INDEX(products!$A$1:$G$49,MATCH(orders!$D951,products!$A$1:$A$49,0),MATCH(orders!K$1,products!$A$1:$G$1,0))</f>
        <v>2.5</v>
      </c>
      <c r="L951">
        <f>INDEX(products!$A$1:$G$49,MATCH(orders!$D951,products!$A$1:$A$49,0),MATCH(orders!L$1,products!$A$1:$G$1,0))</f>
        <v>27.484999999999996</v>
      </c>
      <c r="M951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_xlfn.XLOOKUP(C951,customers!$A$2:$A$1001,customers!$I$2:$I$1001,,0)</f>
        <v>No</v>
      </c>
    </row>
    <row r="952" spans="1:16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>
        <f>_xlfn.XLOOKUP(C952,customers!$A$1:$A$1001,customers!$C$1:$C$1001,,0)</f>
        <v>0</v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>
        <f>INDEX(products!$A$1:$G$49,MATCH(orders!$D952,products!$A$1:$A$49,0),MATCH(orders!K$1,products!$A$1:$G$1,0))</f>
        <v>0.2</v>
      </c>
      <c r="L952">
        <f>INDEX(products!$A$1:$G$49,MATCH(orders!$D952,products!$A$1:$A$49,0),MATCH(orders!L$1,products!$A$1:$G$1,0))</f>
        <v>3.5849999999999995</v>
      </c>
      <c r="M952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_xlfn.XLOOKUP(C952,customers!$A$2:$A$1001,customers!$I$2:$I$1001,,0)</f>
        <v>Yes</v>
      </c>
    </row>
    <row r="953" spans="1:16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_xlfn.XLOOKUP(C953,customers!$A$1:$A$1001,customers!$C$1:$C$1001,,0)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>
        <f>INDEX(products!$A$1:$G$49,MATCH(orders!$D953,products!$A$1:$A$49,0),MATCH(orders!K$1,products!$A$1:$G$1,0))</f>
        <v>0.2</v>
      </c>
      <c r="L953">
        <f>INDEX(products!$A$1:$G$49,MATCH(orders!$D953,products!$A$1:$A$49,0),MATCH(orders!L$1,products!$A$1:$G$1,0))</f>
        <v>3.5849999999999995</v>
      </c>
      <c r="M953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_xlfn.XLOOKUP(C953,customers!$A$2:$A$1001,customers!$I$2:$I$1001,,0)</f>
        <v>No</v>
      </c>
    </row>
    <row r="954" spans="1:16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_xlfn.XLOOKUP(C954,customers!$A$1:$A$1001,customers!$C$1:$C$1001,,0)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>
        <f>INDEX(products!$A$1:$G$49,MATCH(orders!$D954,products!$A$1:$A$49,0),MATCH(orders!K$1,products!$A$1:$G$1,0))</f>
        <v>1</v>
      </c>
      <c r="L954">
        <f>INDEX(products!$A$1:$G$49,MATCH(orders!$D954,products!$A$1:$A$49,0),MATCH(orders!L$1,products!$A$1:$G$1,0))</f>
        <v>11.25</v>
      </c>
      <c r="M954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_xlfn.XLOOKUP(C954,customers!$A$2:$A$1001,customers!$I$2:$I$1001,,0)</f>
        <v>Yes</v>
      </c>
    </row>
    <row r="955" spans="1:16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>
        <f>_xlfn.XLOOKUP(C955,customers!$A$1:$A$1001,customers!$C$1:$C$1001,,0)</f>
        <v>0</v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>
        <f>INDEX(products!$A$1:$G$49,MATCH(orders!$D955,products!$A$1:$A$49,0),MATCH(orders!K$1,products!$A$1:$G$1,0))</f>
        <v>0.2</v>
      </c>
      <c r="L955">
        <f>INDEX(products!$A$1:$G$49,MATCH(orders!$D955,products!$A$1:$A$49,0),MATCH(orders!L$1,products!$A$1:$G$1,0))</f>
        <v>3.8849999999999998</v>
      </c>
      <c r="M95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_xlfn.XLOOKUP(C955,customers!$A$2:$A$1001,customers!$I$2:$I$1001,,0)</f>
        <v>Yes</v>
      </c>
    </row>
    <row r="956" spans="1:16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>
        <f>_xlfn.XLOOKUP(C956,customers!$A$1:$A$1001,customers!$C$1:$C$1001,,0)</f>
        <v>0</v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>
        <f>INDEX(products!$A$1:$G$49,MATCH(orders!$D956,products!$A$1:$A$49,0),MATCH(orders!K$1,products!$A$1:$G$1,0))</f>
        <v>2.5</v>
      </c>
      <c r="L956">
        <f>INDEX(products!$A$1:$G$49,MATCH(orders!$D956,products!$A$1:$A$49,0),MATCH(orders!L$1,products!$A$1:$G$1,0))</f>
        <v>27.945</v>
      </c>
      <c r="M956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_xlfn.XLOOKUP(C956,customers!$A$2:$A$1001,customers!$I$2:$I$1001,,0)</f>
        <v>Yes</v>
      </c>
    </row>
    <row r="957" spans="1:16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>
        <f>_xlfn.XLOOKUP(C957,customers!$A$1:$A$1001,customers!$C$1:$C$1001,,0)</f>
        <v>0</v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>
        <f>INDEX(products!$A$1:$G$49,MATCH(orders!$D957,products!$A$1:$A$49,0),MATCH(orders!K$1,products!$A$1:$G$1,0))</f>
        <v>2.5</v>
      </c>
      <c r="L957">
        <f>INDEX(products!$A$1:$G$49,MATCH(orders!$D957,products!$A$1:$A$49,0),MATCH(orders!L$1,products!$A$1:$G$1,0))</f>
        <v>34.154999999999994</v>
      </c>
      <c r="M957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_xlfn.XLOOKUP(C957,customers!$A$2:$A$1001,customers!$I$2:$I$1001,,0)</f>
        <v>Yes</v>
      </c>
    </row>
    <row r="958" spans="1:16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>
        <f>_xlfn.XLOOKUP(C958,customers!$A$1:$A$1001,customers!$C$1:$C$1001,,0)</f>
        <v>0</v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>
        <f>INDEX(products!$A$1:$G$49,MATCH(orders!$D958,products!$A$1:$A$49,0),MATCH(orders!K$1,products!$A$1:$G$1,0))</f>
        <v>2.5</v>
      </c>
      <c r="L958">
        <f>INDEX(products!$A$1:$G$49,MATCH(orders!$D958,products!$A$1:$A$49,0),MATCH(orders!L$1,products!$A$1:$G$1,0))</f>
        <v>27.484999999999996</v>
      </c>
      <c r="M958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_xlfn.XLOOKUP(C958,customers!$A$2:$A$1001,customers!$I$2:$I$1001,,0)</f>
        <v>Yes</v>
      </c>
    </row>
    <row r="959" spans="1:16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>
        <f>_xlfn.XLOOKUP(C959,customers!$A$1:$A$1001,customers!$C$1:$C$1001,,0)</f>
        <v>0</v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>
        <f>INDEX(products!$A$1:$G$49,MATCH(orders!$D959,products!$A$1:$A$49,0),MATCH(orders!K$1,products!$A$1:$G$1,0))</f>
        <v>1</v>
      </c>
      <c r="L959">
        <f>INDEX(products!$A$1:$G$49,MATCH(orders!$D959,products!$A$1:$A$49,0),MATCH(orders!L$1,products!$A$1:$G$1,0))</f>
        <v>14.85</v>
      </c>
      <c r="M959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_xlfn.XLOOKUP(C959,customers!$A$2:$A$1001,customers!$I$2:$I$1001,,0)</f>
        <v>Yes</v>
      </c>
    </row>
    <row r="960" spans="1:16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>
        <f>_xlfn.XLOOKUP(C960,customers!$A$1:$A$1001,customers!$C$1:$C$1001,,0)</f>
        <v>0</v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>
        <f>INDEX(products!$A$1:$G$49,MATCH(orders!$D960,products!$A$1:$A$49,0),MATCH(orders!K$1,products!$A$1:$G$1,0))</f>
        <v>0.2</v>
      </c>
      <c r="L960">
        <f>INDEX(products!$A$1:$G$49,MATCH(orders!$D960,products!$A$1:$A$49,0),MATCH(orders!L$1,products!$A$1:$G$1,0))</f>
        <v>3.8849999999999998</v>
      </c>
      <c r="M960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_xlfn.XLOOKUP(C960,customers!$A$2:$A$1001,customers!$I$2:$I$1001,,0)</f>
        <v>Yes</v>
      </c>
    </row>
    <row r="961" spans="1:16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_xlfn.XLOOKUP(C961,customers!$A$1:$A$1001,customers!$C$1:$C$1001,,0)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>
        <f>INDEX(products!$A$1:$G$49,MATCH(orders!$D961,products!$A$1:$A$49,0),MATCH(orders!K$1,products!$A$1:$G$1,0))</f>
        <v>0.2</v>
      </c>
      <c r="L961">
        <f>INDEX(products!$A$1:$G$49,MATCH(orders!$D961,products!$A$1:$A$49,0),MATCH(orders!L$1,products!$A$1:$G$1,0))</f>
        <v>4.7549999999999999</v>
      </c>
      <c r="M961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_xlfn.XLOOKUP(C961,customers!$A$2:$A$1001,customers!$I$2:$I$1001,,0)</f>
        <v>Yes</v>
      </c>
    </row>
    <row r="962" spans="1:16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_xlfn.XLOOKUP(C962,customers!$A$1:$A$1001,customers!$C$1:$C$1001,,0)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>
        <f>INDEX(products!$A$1:$G$49,MATCH(orders!$D962,products!$A$1:$A$49,0),MATCH(orders!K$1,products!$A$1:$G$1,0))</f>
        <v>1</v>
      </c>
      <c r="L962">
        <f>INDEX(products!$A$1:$G$49,MATCH(orders!$D962,products!$A$1:$A$49,0),MATCH(orders!L$1,products!$A$1:$G$1,0))</f>
        <v>15.85</v>
      </c>
      <c r="M962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_xlfn.XLOOKUP(C962,customers!$A$2:$A$1001,customers!$I$2:$I$1001,,0)</f>
        <v>Yes</v>
      </c>
    </row>
    <row r="963" spans="1:16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>
        <f>_xlfn.XLOOKUP(C963,customers!$A$1:$A$1001,customers!$C$1:$C$1001,,0)</f>
        <v>0</v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>
        <f>INDEX(products!$A$1:$G$49,MATCH(orders!$D963,products!$A$1:$A$49,0),MATCH(orders!K$1,products!$A$1:$G$1,0))</f>
        <v>2.5</v>
      </c>
      <c r="L963">
        <f>INDEX(products!$A$1:$G$49,MATCH(orders!$D963,products!$A$1:$A$49,0),MATCH(orders!L$1,products!$A$1:$G$1,0))</f>
        <v>22.884999999999998</v>
      </c>
      <c r="M963">
        <f t="shared" ref="M963:M1001" si="45">L963*E963</f>
        <v>45.769999999999996</v>
      </c>
      <c r="N963" t="str">
        <f t="shared" ref="N963:N1001" si="46">IF(I963="Rob","Robusta",IF(I963="Exc","Excelsa",IF(I963="Lib","Liberica",IF(I963="Ara","Arabica"))))</f>
        <v>Arabica</v>
      </c>
      <c r="O963" t="str">
        <f t="shared" si="44"/>
        <v>Dark</v>
      </c>
      <c r="P963" t="str">
        <f>_xlfn.XLOOKUP(C963,customers!$A$2:$A$1001,customers!$I$2:$I$1001,,0)</f>
        <v>Yes</v>
      </c>
    </row>
    <row r="964" spans="1:16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_xlfn.XLOOKUP(C964,customers!$A$1:$A$1001,customers!$C$1:$C$1001,,0)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>
        <f>INDEX(products!$A$1:$G$49,MATCH(orders!$D964,products!$A$1:$A$49,0),MATCH(orders!K$1,products!$A$1:$G$1,0))</f>
        <v>1</v>
      </c>
      <c r="L964">
        <f>INDEX(products!$A$1:$G$49,MATCH(orders!$D964,products!$A$1:$A$49,0),MATCH(orders!L$1,products!$A$1:$G$1,0))</f>
        <v>8.9499999999999993</v>
      </c>
      <c r="M964">
        <f t="shared" si="45"/>
        <v>8.9499999999999993</v>
      </c>
      <c r="N964" t="str">
        <f t="shared" si="46"/>
        <v>Robusta</v>
      </c>
      <c r="O964" t="str">
        <f t="shared" si="44"/>
        <v>Dark</v>
      </c>
      <c r="P964" t="str">
        <f>_xlfn.XLOOKUP(C964,customers!$A$2:$A$1001,customers!$I$2:$I$1001,,0)</f>
        <v>Yes</v>
      </c>
    </row>
    <row r="965" spans="1:16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_xlfn.XLOOKUP(C965,customers!$A$1:$A$1001,customers!$C$1:$C$1001,,0)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>
        <f>INDEX(products!$A$1:$G$49,MATCH(orders!$D965,products!$A$1:$A$49,0),MATCH(orders!K$1,products!$A$1:$G$1,0))</f>
        <v>0.5</v>
      </c>
      <c r="L965">
        <f>INDEX(products!$A$1:$G$49,MATCH(orders!$D965,products!$A$1:$A$49,0),MATCH(orders!L$1,products!$A$1:$G$1,0))</f>
        <v>5.97</v>
      </c>
      <c r="M965">
        <f t="shared" si="45"/>
        <v>23.88</v>
      </c>
      <c r="N965" t="str">
        <f t="shared" si="46"/>
        <v>Robusta</v>
      </c>
      <c r="O965" t="str">
        <f t="shared" ref="O965:O1001" si="47">IF(J965="L","Light",IF(J965="M","Medium",IF(J965="D","Dark")))</f>
        <v>Medium</v>
      </c>
      <c r="P965" t="str">
        <f>_xlfn.XLOOKUP(C965,customers!$A$2:$A$1001,customers!$I$2:$I$1001,,0)</f>
        <v>Yes</v>
      </c>
    </row>
    <row r="966" spans="1:16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_xlfn.XLOOKUP(C966,customers!$A$1:$A$1001,customers!$C$1:$C$1001,,0)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>
        <f>INDEX(products!$A$1:$G$49,MATCH(orders!$D966,products!$A$1:$A$49,0),MATCH(orders!K$1,products!$A$1:$G$1,0))</f>
        <v>0.2</v>
      </c>
      <c r="L966">
        <f>INDEX(products!$A$1:$G$49,MATCH(orders!$D966,products!$A$1:$A$49,0),MATCH(orders!L$1,products!$A$1:$G$1,0))</f>
        <v>4.4550000000000001</v>
      </c>
      <c r="M966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_xlfn.XLOOKUP(C966,customers!$A$2:$A$1001,customers!$I$2:$I$1001,,0)</f>
        <v>No</v>
      </c>
    </row>
    <row r="967" spans="1:16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_xlfn.XLOOKUP(C967,customers!$A$1:$A$1001,customers!$C$1:$C$1001,,0)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>
        <f>INDEX(products!$A$1:$G$49,MATCH(orders!$D967,products!$A$1:$A$49,0),MATCH(orders!K$1,products!$A$1:$G$1,0))</f>
        <v>1</v>
      </c>
      <c r="L967">
        <f>INDEX(products!$A$1:$G$49,MATCH(orders!$D967,products!$A$1:$A$49,0),MATCH(orders!L$1,products!$A$1:$G$1,0))</f>
        <v>9.9499999999999993</v>
      </c>
      <c r="M967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_xlfn.XLOOKUP(C967,customers!$A$2:$A$1001,customers!$I$2:$I$1001,,0)</f>
        <v>Yes</v>
      </c>
    </row>
    <row r="968" spans="1:16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_xlfn.XLOOKUP(C968,customers!$A$1:$A$1001,customers!$C$1:$C$1001,,0)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>
        <f>INDEX(products!$A$1:$G$49,MATCH(orders!$D968,products!$A$1:$A$49,0),MATCH(orders!K$1,products!$A$1:$G$1,0))</f>
        <v>0.5</v>
      </c>
      <c r="L968">
        <f>INDEX(products!$A$1:$G$49,MATCH(orders!$D968,products!$A$1:$A$49,0),MATCH(orders!L$1,products!$A$1:$G$1,0))</f>
        <v>8.91</v>
      </c>
      <c r="M968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_xlfn.XLOOKUP(C968,customers!$A$2:$A$1001,customers!$I$2:$I$1001,,0)</f>
        <v>Yes</v>
      </c>
    </row>
    <row r="969" spans="1:16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_xlfn.XLOOKUP(C969,customers!$A$1:$A$1001,customers!$C$1:$C$1001,,0)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>
        <f>INDEX(products!$A$1:$G$49,MATCH(orders!$D969,products!$A$1:$A$49,0),MATCH(orders!K$1,products!$A$1:$G$1,0))</f>
        <v>0.2</v>
      </c>
      <c r="L969">
        <f>INDEX(products!$A$1:$G$49,MATCH(orders!$D969,products!$A$1:$A$49,0),MATCH(orders!L$1,products!$A$1:$G$1,0))</f>
        <v>2.6849999999999996</v>
      </c>
      <c r="M969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_xlfn.XLOOKUP(C969,customers!$A$2:$A$1001,customers!$I$2:$I$1001,,0)</f>
        <v>Yes</v>
      </c>
    </row>
    <row r="970" spans="1:16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_xlfn.XLOOKUP(C970,customers!$A$1:$A$1001,customers!$C$1:$C$1001,,0)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>
        <f>INDEX(products!$A$1:$G$49,MATCH(orders!$D970,products!$A$1:$A$49,0),MATCH(orders!K$1,products!$A$1:$G$1,0))</f>
        <v>0.2</v>
      </c>
      <c r="L970">
        <f>INDEX(products!$A$1:$G$49,MATCH(orders!$D970,products!$A$1:$A$49,0),MATCH(orders!L$1,products!$A$1:$G$1,0))</f>
        <v>2.9849999999999999</v>
      </c>
      <c r="M970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_xlfn.XLOOKUP(C970,customers!$A$2:$A$1001,customers!$I$2:$I$1001,,0)</f>
        <v>No</v>
      </c>
    </row>
    <row r="971" spans="1:16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_xlfn.XLOOKUP(C971,customers!$A$1:$A$1001,customers!$C$1:$C$1001,,0)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>
        <f>INDEX(products!$A$1:$G$49,MATCH(orders!$D971,products!$A$1:$A$49,0),MATCH(orders!K$1,products!$A$1:$G$1,0))</f>
        <v>1</v>
      </c>
      <c r="L971">
        <f>INDEX(products!$A$1:$G$49,MATCH(orders!$D971,products!$A$1:$A$49,0),MATCH(orders!L$1,products!$A$1:$G$1,0))</f>
        <v>12.95</v>
      </c>
      <c r="M971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_xlfn.XLOOKUP(C971,customers!$A$2:$A$1001,customers!$I$2:$I$1001,,0)</f>
        <v>Yes</v>
      </c>
    </row>
    <row r="972" spans="1:16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>
        <f>_xlfn.XLOOKUP(C972,customers!$A$1:$A$1001,customers!$C$1:$C$1001,,0)</f>
        <v>0</v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>
        <f>INDEX(products!$A$1:$G$49,MATCH(orders!$D972,products!$A$1:$A$49,0),MATCH(orders!K$1,products!$A$1:$G$1,0))</f>
        <v>0.5</v>
      </c>
      <c r="L972">
        <f>INDEX(products!$A$1:$G$49,MATCH(orders!$D972,products!$A$1:$A$49,0),MATCH(orders!L$1,products!$A$1:$G$1,0))</f>
        <v>8.25</v>
      </c>
      <c r="M972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_xlfn.XLOOKUP(C972,customers!$A$2:$A$1001,customers!$I$2:$I$1001,,0)</f>
        <v>No</v>
      </c>
    </row>
    <row r="973" spans="1:16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_xlfn.XLOOKUP(C973,customers!$A$1:$A$1001,customers!$C$1:$C$1001,,0)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>
        <f>INDEX(products!$A$1:$G$49,MATCH(orders!$D973,products!$A$1:$A$49,0),MATCH(orders!K$1,products!$A$1:$G$1,0))</f>
        <v>2.5</v>
      </c>
      <c r="L973">
        <f>INDEX(products!$A$1:$G$49,MATCH(orders!$D973,products!$A$1:$A$49,0),MATCH(orders!L$1,products!$A$1:$G$1,0))</f>
        <v>29.784999999999997</v>
      </c>
      <c r="M973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_xlfn.XLOOKUP(C973,customers!$A$2:$A$1001,customers!$I$2:$I$1001,,0)</f>
        <v>No</v>
      </c>
    </row>
    <row r="974" spans="1:16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>
        <f>_xlfn.XLOOKUP(C974,customers!$A$1:$A$1001,customers!$C$1:$C$1001,,0)</f>
        <v>0</v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>
        <f>INDEX(products!$A$1:$G$49,MATCH(orders!$D974,products!$A$1:$A$49,0),MATCH(orders!K$1,products!$A$1:$G$1,0))</f>
        <v>2.5</v>
      </c>
      <c r="L974">
        <f>INDEX(products!$A$1:$G$49,MATCH(orders!$D974,products!$A$1:$A$49,0),MATCH(orders!L$1,products!$A$1:$G$1,0))</f>
        <v>29.784999999999997</v>
      </c>
      <c r="M974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_xlfn.XLOOKUP(C974,customers!$A$2:$A$1001,customers!$I$2:$I$1001,,0)</f>
        <v>Yes</v>
      </c>
    </row>
    <row r="975" spans="1:16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_xlfn.XLOOKUP(C975,customers!$A$1:$A$1001,customers!$C$1:$C$1001,,0)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>
        <f>INDEX(products!$A$1:$G$49,MATCH(orders!$D975,products!$A$1:$A$49,0),MATCH(orders!K$1,products!$A$1:$G$1,0))</f>
        <v>1</v>
      </c>
      <c r="L975">
        <f>INDEX(products!$A$1:$G$49,MATCH(orders!$D975,products!$A$1:$A$49,0),MATCH(orders!L$1,products!$A$1:$G$1,0))</f>
        <v>14.55</v>
      </c>
      <c r="M97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_xlfn.XLOOKUP(C975,customers!$A$2:$A$1001,customers!$I$2:$I$1001,,0)</f>
        <v>No</v>
      </c>
    </row>
    <row r="976" spans="1:16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_xlfn.XLOOKUP(C976,customers!$A$1:$A$1001,customers!$C$1:$C$1001,,0)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>
        <f>INDEX(products!$A$1:$G$49,MATCH(orders!$D976,products!$A$1:$A$49,0),MATCH(orders!K$1,products!$A$1:$G$1,0))</f>
        <v>0.5</v>
      </c>
      <c r="L976">
        <f>INDEX(products!$A$1:$G$49,MATCH(orders!$D976,products!$A$1:$A$49,0),MATCH(orders!L$1,products!$A$1:$G$1,0))</f>
        <v>5.3699999999999992</v>
      </c>
      <c r="M976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_xlfn.XLOOKUP(C976,customers!$A$2:$A$1001,customers!$I$2:$I$1001,,0)</f>
        <v>Yes</v>
      </c>
    </row>
    <row r="977" spans="1:16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_xlfn.XLOOKUP(C977,customers!$A$1:$A$1001,customers!$C$1:$C$1001,,0)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>
        <f>INDEX(products!$A$1:$G$49,MATCH(orders!$D977,products!$A$1:$A$49,0),MATCH(orders!K$1,products!$A$1:$G$1,0))</f>
        <v>0.2</v>
      </c>
      <c r="L977">
        <f>INDEX(products!$A$1:$G$49,MATCH(orders!$D977,products!$A$1:$A$49,0),MATCH(orders!L$1,products!$A$1:$G$1,0))</f>
        <v>2.9849999999999999</v>
      </c>
      <c r="M977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_xlfn.XLOOKUP(C977,customers!$A$2:$A$1001,customers!$I$2:$I$1001,,0)</f>
        <v>Yes</v>
      </c>
    </row>
    <row r="978" spans="1:16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_xlfn.XLOOKUP(C978,customers!$A$1:$A$1001,customers!$C$1:$C$1001,,0)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>
        <f>INDEX(products!$A$1:$G$49,MATCH(orders!$D978,products!$A$1:$A$49,0),MATCH(orders!K$1,products!$A$1:$G$1,0))</f>
        <v>2.5</v>
      </c>
      <c r="L978">
        <f>INDEX(products!$A$1:$G$49,MATCH(orders!$D978,products!$A$1:$A$49,0),MATCH(orders!L$1,products!$A$1:$G$1,0))</f>
        <v>27.484999999999996</v>
      </c>
      <c r="M978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_xlfn.XLOOKUP(C978,customers!$A$2:$A$1001,customers!$I$2:$I$1001,,0)</f>
        <v>Yes</v>
      </c>
    </row>
    <row r="979" spans="1:16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_xlfn.XLOOKUP(C979,customers!$A$1:$A$1001,customers!$C$1:$C$1001,,0)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>
        <f>INDEX(products!$A$1:$G$49,MATCH(orders!$D979,products!$A$1:$A$49,0),MATCH(orders!K$1,products!$A$1:$G$1,0))</f>
        <v>1</v>
      </c>
      <c r="L979">
        <f>INDEX(products!$A$1:$G$49,MATCH(orders!$D979,products!$A$1:$A$49,0),MATCH(orders!L$1,products!$A$1:$G$1,0))</f>
        <v>11.95</v>
      </c>
      <c r="M979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_xlfn.XLOOKUP(C979,customers!$A$2:$A$1001,customers!$I$2:$I$1001,,0)</f>
        <v>No</v>
      </c>
    </row>
    <row r="980" spans="1:16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_xlfn.XLOOKUP(C980,customers!$A$1:$A$1001,customers!$C$1:$C$1001,,0)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>
        <f>INDEX(products!$A$1:$G$49,MATCH(orders!$D980,products!$A$1:$A$49,0),MATCH(orders!K$1,products!$A$1:$G$1,0))</f>
        <v>0.5</v>
      </c>
      <c r="L980">
        <f>INDEX(products!$A$1:$G$49,MATCH(orders!$D980,products!$A$1:$A$49,0),MATCH(orders!L$1,products!$A$1:$G$1,0))</f>
        <v>7.77</v>
      </c>
      <c r="M980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_xlfn.XLOOKUP(C980,customers!$A$2:$A$1001,customers!$I$2:$I$1001,,0)</f>
        <v>No</v>
      </c>
    </row>
    <row r="981" spans="1:16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>
        <f>_xlfn.XLOOKUP(C981,customers!$A$1:$A$1001,customers!$C$1:$C$1001,,0)</f>
        <v>0</v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>
        <f>INDEX(products!$A$1:$G$49,MATCH(orders!$D981,products!$A$1:$A$49,0),MATCH(orders!K$1,products!$A$1:$G$1,0))</f>
        <v>0.5</v>
      </c>
      <c r="L981">
        <f>INDEX(products!$A$1:$G$49,MATCH(orders!$D981,products!$A$1:$A$49,0),MATCH(orders!L$1,products!$A$1:$G$1,0))</f>
        <v>5.3699999999999992</v>
      </c>
      <c r="M981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_xlfn.XLOOKUP(C981,customers!$A$2:$A$1001,customers!$I$2:$I$1001,,0)</f>
        <v>No</v>
      </c>
    </row>
    <row r="982" spans="1:16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>
        <f>_xlfn.XLOOKUP(C982,customers!$A$1:$A$1001,customers!$C$1:$C$1001,,0)</f>
        <v>0</v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>
        <f>INDEX(products!$A$1:$G$49,MATCH(orders!$D982,products!$A$1:$A$49,0),MATCH(orders!K$1,products!$A$1:$G$1,0))</f>
        <v>2.5</v>
      </c>
      <c r="L982">
        <f>INDEX(products!$A$1:$G$49,MATCH(orders!$D982,products!$A$1:$A$49,0),MATCH(orders!L$1,products!$A$1:$G$1,0))</f>
        <v>27.945</v>
      </c>
      <c r="M982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_xlfn.XLOOKUP(C982,customers!$A$2:$A$1001,customers!$I$2:$I$1001,,0)</f>
        <v>Yes</v>
      </c>
    </row>
    <row r="983" spans="1:16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_xlfn.XLOOKUP(C983,customers!$A$1:$A$1001,customers!$C$1:$C$1001,,0)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>
        <f>INDEX(products!$A$1:$G$49,MATCH(orders!$D983,products!$A$1:$A$49,0),MATCH(orders!K$1,products!$A$1:$G$1,0))</f>
        <v>0.2</v>
      </c>
      <c r="L983">
        <f>INDEX(products!$A$1:$G$49,MATCH(orders!$D983,products!$A$1:$A$49,0),MATCH(orders!L$1,products!$A$1:$G$1,0))</f>
        <v>3.645</v>
      </c>
      <c r="M983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_xlfn.XLOOKUP(C983,customers!$A$2:$A$1001,customers!$I$2:$I$1001,,0)</f>
        <v>Yes</v>
      </c>
    </row>
    <row r="984" spans="1:16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_xlfn.XLOOKUP(C984,customers!$A$1:$A$1001,customers!$C$1:$C$1001,,0)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>
        <f>INDEX(products!$A$1:$G$49,MATCH(orders!$D984,products!$A$1:$A$49,0),MATCH(orders!K$1,products!$A$1:$G$1,0))</f>
        <v>1</v>
      </c>
      <c r="L984">
        <f>INDEX(products!$A$1:$G$49,MATCH(orders!$D984,products!$A$1:$A$49,0),MATCH(orders!L$1,products!$A$1:$G$1,0))</f>
        <v>11.95</v>
      </c>
      <c r="M984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_xlfn.XLOOKUP(C984,customers!$A$2:$A$1001,customers!$I$2:$I$1001,,0)</f>
        <v>Yes</v>
      </c>
    </row>
    <row r="985" spans="1:16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_xlfn.XLOOKUP(C985,customers!$A$1:$A$1001,customers!$C$1:$C$1001,,0)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>
        <f>INDEX(products!$A$1:$G$49,MATCH(orders!$D985,products!$A$1:$A$49,0),MATCH(orders!K$1,products!$A$1:$G$1,0))</f>
        <v>0.2</v>
      </c>
      <c r="L985">
        <f>INDEX(products!$A$1:$G$49,MATCH(orders!$D985,products!$A$1:$A$49,0),MATCH(orders!L$1,products!$A$1:$G$1,0))</f>
        <v>3.375</v>
      </c>
      <c r="M98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_xlfn.XLOOKUP(C985,customers!$A$2:$A$1001,customers!$I$2:$I$1001,,0)</f>
        <v>Yes</v>
      </c>
    </row>
    <row r="986" spans="1:16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_xlfn.XLOOKUP(C986,customers!$A$1:$A$1001,customers!$C$1:$C$1001,,0)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>
        <f>INDEX(products!$A$1:$G$49,MATCH(orders!$D986,products!$A$1:$A$49,0),MATCH(orders!K$1,products!$A$1:$G$1,0))</f>
        <v>2.5</v>
      </c>
      <c r="L986">
        <f>INDEX(products!$A$1:$G$49,MATCH(orders!$D986,products!$A$1:$A$49,0),MATCH(orders!L$1,products!$A$1:$G$1,0))</f>
        <v>31.624999999999996</v>
      </c>
      <c r="M986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_xlfn.XLOOKUP(C986,customers!$A$2:$A$1001,customers!$I$2:$I$1001,,0)</f>
        <v>Yes</v>
      </c>
    </row>
    <row r="987" spans="1:16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_xlfn.XLOOKUP(C987,customers!$A$1:$A$1001,customers!$C$1:$C$1001,,0)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>
        <f>INDEX(products!$A$1:$G$49,MATCH(orders!$D987,products!$A$1:$A$49,0),MATCH(orders!K$1,products!$A$1:$G$1,0))</f>
        <v>1</v>
      </c>
      <c r="L987">
        <f>INDEX(products!$A$1:$G$49,MATCH(orders!$D987,products!$A$1:$A$49,0),MATCH(orders!L$1,products!$A$1:$G$1,0))</f>
        <v>11.95</v>
      </c>
      <c r="M987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_xlfn.XLOOKUP(C987,customers!$A$2:$A$1001,customers!$I$2:$I$1001,,0)</f>
        <v>No</v>
      </c>
    </row>
    <row r="988" spans="1:16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_xlfn.XLOOKUP(C988,customers!$A$1:$A$1001,customers!$C$1:$C$1001,,0)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>
        <f>INDEX(products!$A$1:$G$49,MATCH(orders!$D988,products!$A$1:$A$49,0),MATCH(orders!K$1,products!$A$1:$G$1,0))</f>
        <v>2.5</v>
      </c>
      <c r="L988">
        <f>INDEX(products!$A$1:$G$49,MATCH(orders!$D988,products!$A$1:$A$49,0),MATCH(orders!L$1,products!$A$1:$G$1,0))</f>
        <v>33.464999999999996</v>
      </c>
      <c r="M988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_xlfn.XLOOKUP(C988,customers!$A$2:$A$1001,customers!$I$2:$I$1001,,0)</f>
        <v>No</v>
      </c>
    </row>
    <row r="989" spans="1:16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_xlfn.XLOOKUP(C989,customers!$A$1:$A$1001,customers!$C$1:$C$1001,,0)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>
        <f>INDEX(products!$A$1:$G$49,MATCH(orders!$D989,products!$A$1:$A$49,0),MATCH(orders!K$1,products!$A$1:$G$1,0))</f>
        <v>0.5</v>
      </c>
      <c r="L989">
        <f>INDEX(products!$A$1:$G$49,MATCH(orders!$D989,products!$A$1:$A$49,0),MATCH(orders!L$1,products!$A$1:$G$1,0))</f>
        <v>5.97</v>
      </c>
      <c r="M989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_xlfn.XLOOKUP(C989,customers!$A$2:$A$1001,customers!$I$2:$I$1001,,0)</f>
        <v>Yes</v>
      </c>
    </row>
    <row r="990" spans="1:16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>
        <f>_xlfn.XLOOKUP(C990,customers!$A$1:$A$1001,customers!$C$1:$C$1001,,0)</f>
        <v>0</v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>
        <f>INDEX(products!$A$1:$G$49,MATCH(orders!$D990,products!$A$1:$A$49,0),MATCH(orders!K$1,products!$A$1:$G$1,0))</f>
        <v>1</v>
      </c>
      <c r="L990">
        <f>INDEX(products!$A$1:$G$49,MATCH(orders!$D990,products!$A$1:$A$49,0),MATCH(orders!L$1,products!$A$1:$G$1,0))</f>
        <v>9.9499999999999993</v>
      </c>
      <c r="M990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_xlfn.XLOOKUP(C990,customers!$A$2:$A$1001,customers!$I$2:$I$1001,,0)</f>
        <v>Yes</v>
      </c>
    </row>
    <row r="991" spans="1:16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>
        <f>_xlfn.XLOOKUP(C991,customers!$A$1:$A$1001,customers!$C$1:$C$1001,,0)</f>
        <v>0</v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>
        <f>INDEX(products!$A$1:$G$49,MATCH(orders!$D991,products!$A$1:$A$49,0),MATCH(orders!K$1,products!$A$1:$G$1,0))</f>
        <v>2.5</v>
      </c>
      <c r="L991">
        <f>INDEX(products!$A$1:$G$49,MATCH(orders!$D991,products!$A$1:$A$49,0),MATCH(orders!L$1,products!$A$1:$G$1,0))</f>
        <v>25.874999999999996</v>
      </c>
      <c r="M991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_xlfn.XLOOKUP(C991,customers!$A$2:$A$1001,customers!$I$2:$I$1001,,0)</f>
        <v>Yes</v>
      </c>
    </row>
    <row r="992" spans="1:16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>
        <f>_xlfn.XLOOKUP(C992,customers!$A$1:$A$1001,customers!$C$1:$C$1001,,0)</f>
        <v>0</v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>
        <f>INDEX(products!$A$1:$G$49,MATCH(orders!$D992,products!$A$1:$A$49,0),MATCH(orders!K$1,products!$A$1:$G$1,0))</f>
        <v>0.2</v>
      </c>
      <c r="L992">
        <f>INDEX(products!$A$1:$G$49,MATCH(orders!$D992,products!$A$1:$A$49,0),MATCH(orders!L$1,products!$A$1:$G$1,0))</f>
        <v>3.645</v>
      </c>
      <c r="M992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_xlfn.XLOOKUP(C992,customers!$A$2:$A$1001,customers!$I$2:$I$1001,,0)</f>
        <v>No</v>
      </c>
    </row>
    <row r="993" spans="1:16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>
        <f>_xlfn.XLOOKUP(C993,customers!$A$1:$A$1001,customers!$C$1:$C$1001,,0)</f>
        <v>0</v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>
        <f>INDEX(products!$A$1:$G$49,MATCH(orders!$D993,products!$A$1:$A$49,0),MATCH(orders!K$1,products!$A$1:$G$1,0))</f>
        <v>0.5</v>
      </c>
      <c r="L993">
        <f>INDEX(products!$A$1:$G$49,MATCH(orders!$D993,products!$A$1:$A$49,0),MATCH(orders!L$1,products!$A$1:$G$1,0))</f>
        <v>7.77</v>
      </c>
      <c r="M993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_xlfn.XLOOKUP(C993,customers!$A$2:$A$1001,customers!$I$2:$I$1001,,0)</f>
        <v>No</v>
      </c>
    </row>
    <row r="994" spans="1:16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>
        <f>_xlfn.XLOOKUP(C994,customers!$A$1:$A$1001,customers!$C$1:$C$1001,,0)</f>
        <v>0</v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>
        <f>INDEX(products!$A$1:$G$49,MATCH(orders!$D994,products!$A$1:$A$49,0),MATCH(orders!K$1,products!$A$1:$G$1,0))</f>
        <v>2.5</v>
      </c>
      <c r="L994">
        <f>INDEX(products!$A$1:$G$49,MATCH(orders!$D994,products!$A$1:$A$49,0),MATCH(orders!L$1,products!$A$1:$G$1,0))</f>
        <v>36.454999999999998</v>
      </c>
      <c r="M994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_xlfn.XLOOKUP(C994,customers!$A$2:$A$1001,customers!$I$2:$I$1001,,0)</f>
        <v>No</v>
      </c>
    </row>
    <row r="995" spans="1:16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>
        <f>_xlfn.XLOOKUP(C995,customers!$A$1:$A$1001,customers!$C$1:$C$1001,,0)</f>
        <v>0</v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>
        <f>INDEX(products!$A$1:$G$49,MATCH(orders!$D995,products!$A$1:$A$49,0),MATCH(orders!K$1,products!$A$1:$G$1,0))</f>
        <v>1</v>
      </c>
      <c r="L995">
        <f>INDEX(products!$A$1:$G$49,MATCH(orders!$D995,products!$A$1:$A$49,0),MATCH(orders!L$1,products!$A$1:$G$1,0))</f>
        <v>12.95</v>
      </c>
      <c r="M99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_xlfn.XLOOKUP(C995,customers!$A$2:$A$1001,customers!$I$2:$I$1001,,0)</f>
        <v>No</v>
      </c>
    </row>
    <row r="996" spans="1:16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>
        <f>_xlfn.XLOOKUP(C996,customers!$A$1:$A$1001,customers!$C$1:$C$1001,,0)</f>
        <v>0</v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>
        <f>INDEX(products!$A$1:$G$49,MATCH(orders!$D996,products!$A$1:$A$49,0),MATCH(orders!K$1,products!$A$1:$G$1,0))</f>
        <v>0.2</v>
      </c>
      <c r="L996">
        <f>INDEX(products!$A$1:$G$49,MATCH(orders!$D996,products!$A$1:$A$49,0),MATCH(orders!L$1,products!$A$1:$G$1,0))</f>
        <v>2.9849999999999999</v>
      </c>
      <c r="M996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_xlfn.XLOOKUP(C996,customers!$A$2:$A$1001,customers!$I$2:$I$1001,,0)</f>
        <v>No</v>
      </c>
    </row>
    <row r="997" spans="1:16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_xlfn.XLOOKUP(C997,customers!$A$1:$A$1001,customers!$C$1:$C$1001,,0)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>
        <f>INDEX(products!$A$1:$G$49,MATCH(orders!$D997,products!$A$1:$A$49,0),MATCH(orders!K$1,products!$A$1:$G$1,0))</f>
        <v>2.5</v>
      </c>
      <c r="L997">
        <f>INDEX(products!$A$1:$G$49,MATCH(orders!$D997,products!$A$1:$A$49,0),MATCH(orders!L$1,products!$A$1:$G$1,0))</f>
        <v>27.484999999999996</v>
      </c>
      <c r="M997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_xlfn.XLOOKUP(C997,customers!$A$2:$A$1001,customers!$I$2:$I$1001,,0)</f>
        <v>No</v>
      </c>
    </row>
    <row r="998" spans="1:16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>
        <f>_xlfn.XLOOKUP(C998,customers!$A$1:$A$1001,customers!$C$1:$C$1001,,0)</f>
        <v>0</v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>
        <f>INDEX(products!$A$1:$G$49,MATCH(orders!$D998,products!$A$1:$A$49,0),MATCH(orders!K$1,products!$A$1:$G$1,0))</f>
        <v>0.5</v>
      </c>
      <c r="L998">
        <f>INDEX(products!$A$1:$G$49,MATCH(orders!$D998,products!$A$1:$A$49,0),MATCH(orders!L$1,products!$A$1:$G$1,0))</f>
        <v>5.97</v>
      </c>
      <c r="M998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_xlfn.XLOOKUP(C998,customers!$A$2:$A$1001,customers!$I$2:$I$1001,,0)</f>
        <v>No</v>
      </c>
    </row>
    <row r="999" spans="1:16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>
        <f>_xlfn.XLOOKUP(C999,customers!$A$1:$A$1001,customers!$C$1:$C$1001,,0)</f>
        <v>0</v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>
        <f>INDEX(products!$A$1:$G$49,MATCH(orders!$D999,products!$A$1:$A$49,0),MATCH(orders!K$1,products!$A$1:$G$1,0))</f>
        <v>0.5</v>
      </c>
      <c r="L999">
        <f>INDEX(products!$A$1:$G$49,MATCH(orders!$D999,products!$A$1:$A$49,0),MATCH(orders!L$1,products!$A$1:$G$1,0))</f>
        <v>6.75</v>
      </c>
      <c r="M999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_xlfn.XLOOKUP(C999,customers!$A$2:$A$1001,customers!$I$2:$I$1001,,0)</f>
        <v>No</v>
      </c>
    </row>
    <row r="1000" spans="1:16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_xlfn.XLOOKUP(C1000,customers!$A$1:$A$1001,customers!$C$1:$C$1001,,0)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>
        <f>INDEX(products!$A$1:$G$49,MATCH(orders!$D1000,products!$A$1:$A$49,0),MATCH(orders!K$1,products!$A$1:$G$1,0))</f>
        <v>1</v>
      </c>
      <c r="L1000">
        <f>INDEX(products!$A$1:$G$49,MATCH(orders!$D1000,products!$A$1:$A$49,0),MATCH(orders!L$1,products!$A$1:$G$1,0))</f>
        <v>9.9499999999999993</v>
      </c>
      <c r="M1000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_xlfn.XLOOKUP(C1000,customers!$A$2:$A$1001,customers!$I$2:$I$1001,,0)</f>
        <v>No</v>
      </c>
    </row>
    <row r="1001" spans="1:16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>
        <f>_xlfn.XLOOKUP(C1001,customers!$A$1:$A$1001,customers!$C$1:$C$1001,,0)</f>
        <v>0</v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>
        <f>INDEX(products!$A$1:$G$49,MATCH(orders!$D1001,products!$A$1:$A$49,0),MATCH(orders!K$1,products!$A$1:$G$1,0))</f>
        <v>0.2</v>
      </c>
      <c r="L1001">
        <f>INDEX(products!$A$1:$G$49,MATCH(orders!$D1001,products!$A$1:$A$49,0),MATCH(orders!L$1,products!$A$1:$G$1,0))</f>
        <v>4.125</v>
      </c>
      <c r="M1001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_xlfn.XLOOKUP(C1001,customers!$A$2:$A$1001,customers!$I$2:$I$1001,,0)</f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C973"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VICTUS</dc:creator>
  <cp:keywords/>
  <dc:description/>
  <cp:lastModifiedBy>ragini yadav</cp:lastModifiedBy>
  <cp:revision/>
  <dcterms:created xsi:type="dcterms:W3CDTF">2022-11-26T09:51:45Z</dcterms:created>
  <dcterms:modified xsi:type="dcterms:W3CDTF">2026-01-17T04:09:42Z</dcterms:modified>
  <cp:category/>
  <cp:contentStatus/>
</cp:coreProperties>
</file>